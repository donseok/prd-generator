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nse\Downloads\"/>
    </mc:Choice>
  </mc:AlternateContent>
  <bookViews>
    <workbookView xWindow="0" yWindow="0" windowWidth="23040" windowHeight="9168" tabRatio="500" activeTab="2"/>
  </bookViews>
  <sheets>
    <sheet name="근무확정표(원본)" sheetId="1" r:id="rId1"/>
    <sheet name="근무확정표(김경선수정본)" sheetId="2" r:id="rId2"/>
    <sheet name="3월" sheetId="4" r:id="rId3"/>
    <sheet name="Sheet3" sheetId="6" r:id="rId4"/>
  </sheets>
  <definedNames>
    <definedName name="_xlnm.Print_Area" localSheetId="1">'근무확정표(김경선수정본)'!$A$1:$AE$29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4" l="1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E29" i="4"/>
  <c r="E32" i="4" l="1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H32" i="4" s="1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D32" i="4"/>
  <c r="D31" i="4"/>
  <c r="D30" i="4"/>
  <c r="D29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E28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E27" i="4"/>
  <c r="D28" i="4"/>
  <c r="D27" i="4"/>
  <c r="D33" i="4" l="1"/>
  <c r="AN11" i="4"/>
  <c r="AO11" i="4" s="1"/>
  <c r="AN12" i="4"/>
  <c r="AO12" i="4" s="1"/>
  <c r="AN13" i="4"/>
  <c r="AO13" i="4" s="1"/>
  <c r="AN14" i="4"/>
  <c r="AO14" i="4" s="1"/>
  <c r="AN15" i="4"/>
  <c r="AO15" i="4" s="1"/>
  <c r="AN16" i="4"/>
  <c r="AN17" i="4"/>
  <c r="AO17" i="4" s="1"/>
  <c r="AN18" i="4"/>
  <c r="AO18" i="4" s="1"/>
  <c r="AN19" i="4"/>
  <c r="AO19" i="4" s="1"/>
  <c r="AO16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9" i="4"/>
  <c r="AI10" i="4"/>
  <c r="AN10" i="4" s="1"/>
  <c r="AO10" i="4" s="1"/>
  <c r="AI11" i="4"/>
  <c r="AI12" i="4"/>
  <c r="AI13" i="4"/>
  <c r="AI14" i="4"/>
  <c r="AI15" i="4"/>
  <c r="AI16" i="4"/>
  <c r="AI17" i="4"/>
  <c r="AI18" i="4"/>
  <c r="AI19" i="4"/>
  <c r="AI20" i="4"/>
  <c r="AN20" i="4" s="1"/>
  <c r="AO20" i="4" s="1"/>
  <c r="AI21" i="4"/>
  <c r="AI22" i="4"/>
  <c r="AI23" i="4"/>
  <c r="AI24" i="4"/>
  <c r="AN24" i="4" s="1"/>
  <c r="AI9" i="4"/>
  <c r="AN21" i="4" l="1"/>
  <c r="AO21" i="4" s="1"/>
  <c r="AJ25" i="4"/>
  <c r="AK25" i="4"/>
  <c r="AL25" i="4"/>
  <c r="AM25" i="4"/>
  <c r="AI31" i="4"/>
  <c r="AI28" i="4"/>
  <c r="AI27" i="4"/>
  <c r="AN9" i="4"/>
  <c r="AI29" i="4"/>
  <c r="AI25" i="4"/>
  <c r="AI30" i="4"/>
  <c r="N33" i="4"/>
  <c r="AF33" i="4"/>
  <c r="AG33" i="4"/>
  <c r="U33" i="4"/>
  <c r="AH33" i="4"/>
  <c r="AN22" i="4"/>
  <c r="AO22" i="4" s="1"/>
  <c r="AO24" i="4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AE30" i="6"/>
  <c r="AE32" i="6" s="1"/>
  <c r="AD30" i="6"/>
  <c r="AC30" i="6"/>
  <c r="AC32" i="6" s="1"/>
  <c r="AB30" i="6"/>
  <c r="AA30" i="6"/>
  <c r="AA32" i="6" s="1"/>
  <c r="Z30" i="6"/>
  <c r="Z32" i="6" s="1"/>
  <c r="Y30" i="6"/>
  <c r="Y32" i="6" s="1"/>
  <c r="X30" i="6"/>
  <c r="X32" i="6" s="1"/>
  <c r="W30" i="6"/>
  <c r="W32" i="6" s="1"/>
  <c r="V30" i="6"/>
  <c r="U30" i="6"/>
  <c r="U32" i="6" s="1"/>
  <c r="T30" i="6"/>
  <c r="S30" i="6"/>
  <c r="S32" i="6" s="1"/>
  <c r="R30" i="6"/>
  <c r="R32" i="6" s="1"/>
  <c r="Q30" i="6"/>
  <c r="Q32" i="6" s="1"/>
  <c r="P30" i="6"/>
  <c r="P32" i="6" s="1"/>
  <c r="O30" i="6"/>
  <c r="O32" i="6" s="1"/>
  <c r="N30" i="6"/>
  <c r="M30" i="6"/>
  <c r="M32" i="6" s="1"/>
  <c r="L30" i="6"/>
  <c r="K30" i="6"/>
  <c r="K32" i="6" s="1"/>
  <c r="J30" i="6"/>
  <c r="J32" i="6" s="1"/>
  <c r="I30" i="6"/>
  <c r="I32" i="6" s="1"/>
  <c r="H30" i="6"/>
  <c r="H32" i="6" s="1"/>
  <c r="G30" i="6"/>
  <c r="G32" i="6" s="1"/>
  <c r="F30" i="6"/>
  <c r="E30" i="6"/>
  <c r="E32" i="6" s="1"/>
  <c r="D30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AJ24" i="6"/>
  <c r="AI24" i="6"/>
  <c r="AH24" i="6"/>
  <c r="AG24" i="6"/>
  <c r="AF24" i="6"/>
  <c r="AJ23" i="6"/>
  <c r="AI23" i="6"/>
  <c r="AH23" i="6"/>
  <c r="AG23" i="6"/>
  <c r="AF23" i="6"/>
  <c r="AJ22" i="6"/>
  <c r="AI22" i="6"/>
  <c r="AH22" i="6"/>
  <c r="AG22" i="6"/>
  <c r="AF22" i="6"/>
  <c r="AJ21" i="6"/>
  <c r="AI21" i="6"/>
  <c r="AH21" i="6"/>
  <c r="AG21" i="6"/>
  <c r="AF21" i="6"/>
  <c r="AJ20" i="6"/>
  <c r="AI20" i="6"/>
  <c r="AH20" i="6"/>
  <c r="AG20" i="6"/>
  <c r="AK20" i="6" s="1"/>
  <c r="AL20" i="6" s="1"/>
  <c r="AF20" i="6"/>
  <c r="AJ19" i="6"/>
  <c r="AI19" i="6"/>
  <c r="AH19" i="6"/>
  <c r="AG19" i="6"/>
  <c r="AF19" i="6"/>
  <c r="AK19" i="6" s="1"/>
  <c r="AJ18" i="6"/>
  <c r="AI18" i="6"/>
  <c r="AH18" i="6"/>
  <c r="AG18" i="6"/>
  <c r="AF18" i="6"/>
  <c r="AJ17" i="6"/>
  <c r="AI17" i="6"/>
  <c r="AH17" i="6"/>
  <c r="AG17" i="6"/>
  <c r="AF17" i="6"/>
  <c r="AK17" i="6" s="1"/>
  <c r="AL17" i="6" s="1"/>
  <c r="AJ16" i="6"/>
  <c r="AI16" i="6"/>
  <c r="AH16" i="6"/>
  <c r="AG16" i="6"/>
  <c r="AF16" i="6"/>
  <c r="AJ15" i="6"/>
  <c r="AI15" i="6"/>
  <c r="AH15" i="6"/>
  <c r="AG15" i="6"/>
  <c r="AF15" i="6"/>
  <c r="AJ14" i="6"/>
  <c r="AI14" i="6"/>
  <c r="AH14" i="6"/>
  <c r="AG14" i="6"/>
  <c r="AF14" i="6"/>
  <c r="AJ13" i="6"/>
  <c r="AI13" i="6"/>
  <c r="AH13" i="6"/>
  <c r="AG13" i="6"/>
  <c r="AF13" i="6"/>
  <c r="AJ12" i="6"/>
  <c r="AI12" i="6"/>
  <c r="AH12" i="6"/>
  <c r="AG12" i="6"/>
  <c r="AK12" i="6" s="1"/>
  <c r="AL12" i="6" s="1"/>
  <c r="AF12" i="6"/>
  <c r="AJ11" i="6"/>
  <c r="AI11" i="6"/>
  <c r="AH11" i="6"/>
  <c r="AG11" i="6"/>
  <c r="AF11" i="6"/>
  <c r="AK11" i="6" s="1"/>
  <c r="AJ10" i="6"/>
  <c r="AI10" i="6"/>
  <c r="AH10" i="6"/>
  <c r="AG10" i="6"/>
  <c r="AF10" i="6"/>
  <c r="AJ9" i="6"/>
  <c r="AI9" i="6"/>
  <c r="AH9" i="6"/>
  <c r="AG9" i="6"/>
  <c r="AF9" i="6"/>
  <c r="AK9" i="6" s="1"/>
  <c r="AD33" i="4"/>
  <c r="AB33" i="4"/>
  <c r="Y33" i="4"/>
  <c r="T33" i="4"/>
  <c r="S33" i="4"/>
  <c r="Q33" i="4"/>
  <c r="L33" i="4"/>
  <c r="K33" i="4"/>
  <c r="I33" i="4"/>
  <c r="G33" i="4"/>
  <c r="F33" i="4"/>
  <c r="E33" i="4"/>
  <c r="AI32" i="4" l="1"/>
  <c r="AN25" i="4"/>
  <c r="W33" i="4"/>
  <c r="V33" i="4"/>
  <c r="AA33" i="4"/>
  <c r="AC33" i="4"/>
  <c r="H33" i="4"/>
  <c r="P33" i="4"/>
  <c r="AJ25" i="6"/>
  <c r="AK13" i="6"/>
  <c r="AL13" i="6" s="1"/>
  <c r="AK16" i="6"/>
  <c r="AK25" i="6" s="1"/>
  <c r="AK21" i="6"/>
  <c r="AL21" i="6" s="1"/>
  <c r="AK24" i="6"/>
  <c r="AL24" i="6" s="1"/>
  <c r="D32" i="6"/>
  <c r="L32" i="6"/>
  <c r="T32" i="6"/>
  <c r="AB32" i="6"/>
  <c r="AK10" i="6"/>
  <c r="AL10" i="6" s="1"/>
  <c r="AK18" i="6"/>
  <c r="AL18" i="6" s="1"/>
  <c r="J33" i="4"/>
  <c r="R33" i="4"/>
  <c r="Z33" i="4"/>
  <c r="AK15" i="6"/>
  <c r="AK23" i="6"/>
  <c r="F32" i="6"/>
  <c r="N32" i="6"/>
  <c r="V32" i="6"/>
  <c r="AD32" i="6"/>
  <c r="AG25" i="6"/>
  <c r="AK14" i="6"/>
  <c r="AL14" i="6" s="1"/>
  <c r="AK22" i="6"/>
  <c r="AH25" i="6"/>
  <c r="AI25" i="6"/>
  <c r="AE33" i="4"/>
  <c r="X33" i="4"/>
  <c r="O33" i="4"/>
  <c r="M33" i="4"/>
  <c r="AL9" i="6"/>
  <c r="AL22" i="6"/>
  <c r="AL11" i="6"/>
  <c r="AL15" i="6"/>
  <c r="AL19" i="6"/>
  <c r="AL23" i="6"/>
  <c r="AF25" i="6"/>
  <c r="AI33" i="4" l="1"/>
  <c r="AL16" i="6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AE30" i="2"/>
  <c r="AD30" i="2"/>
  <c r="AC30" i="2"/>
  <c r="AB30" i="2"/>
  <c r="AA30" i="2"/>
  <c r="AA32" i="2" s="1"/>
  <c r="Z30" i="2"/>
  <c r="Z32" i="2" s="1"/>
  <c r="Y30" i="2"/>
  <c r="Y32" i="2" s="1"/>
  <c r="X30" i="2"/>
  <c r="X32" i="2" s="1"/>
  <c r="W30" i="2"/>
  <c r="V30" i="2"/>
  <c r="V32" i="2" s="1"/>
  <c r="U30" i="2"/>
  <c r="T30" i="2"/>
  <c r="S30" i="2"/>
  <c r="R30" i="2"/>
  <c r="R32" i="2" s="1"/>
  <c r="Q30" i="2"/>
  <c r="Q32" i="2" s="1"/>
  <c r="P30" i="2"/>
  <c r="P32" i="2" s="1"/>
  <c r="O30" i="2"/>
  <c r="N30" i="2"/>
  <c r="N32" i="2" s="1"/>
  <c r="M30" i="2"/>
  <c r="M32" i="2" s="1"/>
  <c r="L30" i="2"/>
  <c r="K30" i="2"/>
  <c r="K32" i="2" s="1"/>
  <c r="J30" i="2"/>
  <c r="J32" i="2" s="1"/>
  <c r="I30" i="2"/>
  <c r="I32" i="2" s="1"/>
  <c r="H30" i="2"/>
  <c r="H32" i="2" s="1"/>
  <c r="G30" i="2"/>
  <c r="F30" i="2"/>
  <c r="F32" i="2" s="1"/>
  <c r="E30" i="2"/>
  <c r="E32" i="2" s="1"/>
  <c r="D30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AJ24" i="2"/>
  <c r="AI24" i="2"/>
  <c r="AH24" i="2"/>
  <c r="AG24" i="2"/>
  <c r="AF24" i="2"/>
  <c r="AK24" i="2" s="1"/>
  <c r="AJ23" i="2"/>
  <c r="AI23" i="2"/>
  <c r="AH23" i="2"/>
  <c r="AG23" i="2"/>
  <c r="AF23" i="2"/>
  <c r="AJ22" i="2"/>
  <c r="AI22" i="2"/>
  <c r="AH22" i="2"/>
  <c r="AG22" i="2"/>
  <c r="AF22" i="2"/>
  <c r="AJ21" i="2"/>
  <c r="AI21" i="2"/>
  <c r="AH21" i="2"/>
  <c r="AG21" i="2"/>
  <c r="AF21" i="2"/>
  <c r="AJ20" i="2"/>
  <c r="AI20" i="2"/>
  <c r="AH20" i="2"/>
  <c r="AG20" i="2"/>
  <c r="AF20" i="2"/>
  <c r="AJ19" i="2"/>
  <c r="AI19" i="2"/>
  <c r="AH19" i="2"/>
  <c r="AG19" i="2"/>
  <c r="AF19" i="2"/>
  <c r="AJ18" i="2"/>
  <c r="AI18" i="2"/>
  <c r="AH18" i="2"/>
  <c r="AG18" i="2"/>
  <c r="AF18" i="2"/>
  <c r="AJ17" i="2"/>
  <c r="AI17" i="2"/>
  <c r="AH17" i="2"/>
  <c r="AG17" i="2"/>
  <c r="AF17" i="2"/>
  <c r="AJ16" i="2"/>
  <c r="AI16" i="2"/>
  <c r="AH16" i="2"/>
  <c r="AG16" i="2"/>
  <c r="AF16" i="2"/>
  <c r="AJ15" i="2"/>
  <c r="AI15" i="2"/>
  <c r="AH15" i="2"/>
  <c r="AG15" i="2"/>
  <c r="AF15" i="2"/>
  <c r="AJ14" i="2"/>
  <c r="AI14" i="2"/>
  <c r="AH14" i="2"/>
  <c r="AG14" i="2"/>
  <c r="AF14" i="2"/>
  <c r="AJ13" i="2"/>
  <c r="AI13" i="2"/>
  <c r="AH13" i="2"/>
  <c r="AG13" i="2"/>
  <c r="AF13" i="2"/>
  <c r="AK13" i="2" s="1"/>
  <c r="AL13" i="2" s="1"/>
  <c r="AJ12" i="2"/>
  <c r="AI12" i="2"/>
  <c r="AH12" i="2"/>
  <c r="AG12" i="2"/>
  <c r="AF12" i="2"/>
  <c r="AJ11" i="2"/>
  <c r="AI11" i="2"/>
  <c r="AH11" i="2"/>
  <c r="AG11" i="2"/>
  <c r="AF11" i="2"/>
  <c r="AK10" i="2"/>
  <c r="AL10" i="2" s="1"/>
  <c r="AJ10" i="2"/>
  <c r="AI10" i="2"/>
  <c r="AH10" i="2"/>
  <c r="AG10" i="2"/>
  <c r="AF10" i="2"/>
  <c r="AJ9" i="2"/>
  <c r="AI9" i="2"/>
  <c r="AH9" i="2"/>
  <c r="AG9" i="2"/>
  <c r="AF9" i="2"/>
  <c r="E32" i="1"/>
  <c r="I32" i="1"/>
  <c r="M32" i="1"/>
  <c r="Q32" i="1"/>
  <c r="U32" i="1"/>
  <c r="Y32" i="1"/>
  <c r="AC32" i="1"/>
  <c r="E31" i="1"/>
  <c r="F31" i="1"/>
  <c r="F32" i="1" s="1"/>
  <c r="G31" i="1"/>
  <c r="H31" i="1"/>
  <c r="I31" i="1"/>
  <c r="J31" i="1"/>
  <c r="K31" i="1"/>
  <c r="L31" i="1"/>
  <c r="M31" i="1"/>
  <c r="N31" i="1"/>
  <c r="N32" i="1" s="1"/>
  <c r="O31" i="1"/>
  <c r="P31" i="1"/>
  <c r="Q31" i="1"/>
  <c r="R31" i="1"/>
  <c r="S31" i="1"/>
  <c r="T31" i="1"/>
  <c r="U31" i="1"/>
  <c r="V31" i="1"/>
  <c r="V32" i="1" s="1"/>
  <c r="W31" i="1"/>
  <c r="X31" i="1"/>
  <c r="Y31" i="1"/>
  <c r="Z31" i="1"/>
  <c r="AA31" i="1"/>
  <c r="AB31" i="1"/>
  <c r="AC31" i="1"/>
  <c r="AD31" i="1"/>
  <c r="AD32" i="1" s="1"/>
  <c r="AE31" i="1"/>
  <c r="E30" i="1"/>
  <c r="F30" i="1"/>
  <c r="G30" i="1"/>
  <c r="G32" i="1" s="1"/>
  <c r="H30" i="1"/>
  <c r="H32" i="1" s="1"/>
  <c r="I30" i="1"/>
  <c r="J30" i="1"/>
  <c r="J32" i="1" s="1"/>
  <c r="K30" i="1"/>
  <c r="K32" i="1" s="1"/>
  <c r="L30" i="1"/>
  <c r="L32" i="1" s="1"/>
  <c r="M30" i="1"/>
  <c r="N30" i="1"/>
  <c r="O30" i="1"/>
  <c r="O32" i="1" s="1"/>
  <c r="P30" i="1"/>
  <c r="P32" i="1" s="1"/>
  <c r="Q30" i="1"/>
  <c r="R30" i="1"/>
  <c r="R32" i="1" s="1"/>
  <c r="S30" i="1"/>
  <c r="S32" i="1" s="1"/>
  <c r="T30" i="1"/>
  <c r="T32" i="1" s="1"/>
  <c r="U30" i="1"/>
  <c r="V30" i="1"/>
  <c r="W30" i="1"/>
  <c r="W32" i="1" s="1"/>
  <c r="X30" i="1"/>
  <c r="X32" i="1" s="1"/>
  <c r="Y30" i="1"/>
  <c r="Z30" i="1"/>
  <c r="Z32" i="1" s="1"/>
  <c r="AA30" i="1"/>
  <c r="AA32" i="1" s="1"/>
  <c r="AB30" i="1"/>
  <c r="AB32" i="1" s="1"/>
  <c r="AC30" i="1"/>
  <c r="AD30" i="1"/>
  <c r="AE30" i="1"/>
  <c r="AE32" i="1" s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D31" i="1"/>
  <c r="D30" i="1"/>
  <c r="D32" i="1" s="1"/>
  <c r="D29" i="1"/>
  <c r="D28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D27" i="1"/>
  <c r="AJ24" i="1"/>
  <c r="AI24" i="1"/>
  <c r="AH24" i="1"/>
  <c r="AG24" i="1"/>
  <c r="AF24" i="1"/>
  <c r="AJ23" i="1"/>
  <c r="AI23" i="1"/>
  <c r="AH23" i="1"/>
  <c r="AG23" i="1"/>
  <c r="AF23" i="1"/>
  <c r="AJ22" i="1"/>
  <c r="AL22" i="1" s="1"/>
  <c r="AI22" i="1"/>
  <c r="AH22" i="1"/>
  <c r="AG22" i="1"/>
  <c r="AF22" i="1"/>
  <c r="AK22" i="1" s="1"/>
  <c r="AJ21" i="1"/>
  <c r="AI21" i="1"/>
  <c r="AH21" i="1"/>
  <c r="AG21" i="1"/>
  <c r="AF21" i="1"/>
  <c r="AJ20" i="1"/>
  <c r="AI20" i="1"/>
  <c r="AH20" i="1"/>
  <c r="AG20" i="1"/>
  <c r="AF20" i="1"/>
  <c r="AJ19" i="1"/>
  <c r="AI19" i="1"/>
  <c r="AH19" i="1"/>
  <c r="AG19" i="1"/>
  <c r="AF19" i="1"/>
  <c r="AJ18" i="1"/>
  <c r="AI18" i="1"/>
  <c r="AH18" i="1"/>
  <c r="AG18" i="1"/>
  <c r="AF18" i="1"/>
  <c r="AJ17" i="1"/>
  <c r="AI17" i="1"/>
  <c r="AH17" i="1"/>
  <c r="AG17" i="1"/>
  <c r="AF17" i="1"/>
  <c r="AJ16" i="1"/>
  <c r="AI16" i="1"/>
  <c r="AH16" i="1"/>
  <c r="AG16" i="1"/>
  <c r="AF16" i="1"/>
  <c r="AJ15" i="1"/>
  <c r="AI15" i="1"/>
  <c r="AH15" i="1"/>
  <c r="AG15" i="1"/>
  <c r="AF15" i="1"/>
  <c r="AJ14" i="1"/>
  <c r="AL14" i="1" s="1"/>
  <c r="AI14" i="1"/>
  <c r="AH14" i="1"/>
  <c r="AG14" i="1"/>
  <c r="AF14" i="1"/>
  <c r="AK14" i="1" s="1"/>
  <c r="AJ13" i="1"/>
  <c r="AI13" i="1"/>
  <c r="AH13" i="1"/>
  <c r="AG13" i="1"/>
  <c r="AF13" i="1"/>
  <c r="AJ12" i="1"/>
  <c r="AI12" i="1"/>
  <c r="AH12" i="1"/>
  <c r="AG12" i="1"/>
  <c r="AF12" i="1"/>
  <c r="AJ11" i="1"/>
  <c r="AI11" i="1"/>
  <c r="AH11" i="1"/>
  <c r="AG11" i="1"/>
  <c r="AF11" i="1"/>
  <c r="AK11" i="1" s="1"/>
  <c r="AL11" i="1" s="1"/>
  <c r="AJ10" i="1"/>
  <c r="AI10" i="1"/>
  <c r="AH10" i="1"/>
  <c r="AG10" i="1"/>
  <c r="AF10" i="1"/>
  <c r="AJ9" i="1"/>
  <c r="AI9" i="1"/>
  <c r="AH9" i="1"/>
  <c r="AG9" i="1"/>
  <c r="AF9" i="1"/>
  <c r="AL16" i="1" l="1"/>
  <c r="AL13" i="1"/>
  <c r="AL12" i="1"/>
  <c r="AK22" i="2"/>
  <c r="AL22" i="2" s="1"/>
  <c r="AK19" i="1"/>
  <c r="AL19" i="1" s="1"/>
  <c r="AK16" i="1"/>
  <c r="AK24" i="1"/>
  <c r="AK9" i="2"/>
  <c r="AL9" i="2" s="1"/>
  <c r="AK13" i="1"/>
  <c r="AK21" i="1"/>
  <c r="AL21" i="1" s="1"/>
  <c r="AK15" i="1"/>
  <c r="AL15" i="1" s="1"/>
  <c r="AK23" i="1"/>
  <c r="AL23" i="1" s="1"/>
  <c r="D32" i="2"/>
  <c r="L32" i="2"/>
  <c r="AK18" i="1"/>
  <c r="AL18" i="1" s="1"/>
  <c r="AK12" i="1"/>
  <c r="AK20" i="1"/>
  <c r="AL20" i="1" s="1"/>
  <c r="AL24" i="1"/>
  <c r="AK10" i="1"/>
  <c r="AL10" i="1" s="1"/>
  <c r="AK17" i="1"/>
  <c r="AL17" i="1" s="1"/>
  <c r="AK12" i="2"/>
  <c r="AL12" i="2" s="1"/>
  <c r="AK20" i="2"/>
  <c r="AL20" i="2" s="1"/>
  <c r="AL24" i="2"/>
  <c r="G32" i="2"/>
  <c r="O32" i="2"/>
  <c r="W32" i="2"/>
  <c r="AE32" i="2"/>
  <c r="S32" i="2"/>
  <c r="AK11" i="2"/>
  <c r="AL11" i="2" s="1"/>
  <c r="AI27" i="2"/>
  <c r="AI28" i="2"/>
  <c r="AI29" i="2"/>
  <c r="AI30" i="2"/>
  <c r="AI31" i="2"/>
  <c r="AK19" i="2"/>
  <c r="AL19" i="2" s="1"/>
  <c r="AK16" i="2"/>
  <c r="AL16" i="2" s="1"/>
  <c r="AB32" i="2"/>
  <c r="AK23" i="2"/>
  <c r="AL23" i="2" s="1"/>
  <c r="AK21" i="2"/>
  <c r="AL21" i="2" s="1"/>
  <c r="AD32" i="2"/>
  <c r="AC32" i="2"/>
  <c r="AK17" i="2"/>
  <c r="AL17" i="2" s="1"/>
  <c r="AK18" i="2"/>
  <c r="AL18" i="2" s="1"/>
  <c r="T32" i="2"/>
  <c r="AK14" i="2"/>
  <c r="AL14" i="2" s="1"/>
  <c r="AG25" i="2"/>
  <c r="AF25" i="2"/>
  <c r="U32" i="2"/>
  <c r="AI25" i="2"/>
  <c r="AK15" i="2"/>
  <c r="AL15" i="2" s="1"/>
  <c r="AH25" i="2"/>
  <c r="AJ25" i="2"/>
  <c r="AG25" i="1"/>
  <c r="AH25" i="1"/>
  <c r="AI25" i="1"/>
  <c r="AJ25" i="1"/>
  <c r="AK9" i="1"/>
  <c r="AK25" i="1" s="1"/>
  <c r="AF25" i="1"/>
  <c r="AL9" i="1" l="1"/>
  <c r="AI32" i="2"/>
  <c r="AL25" i="2"/>
  <c r="AK25" i="2"/>
  <c r="AO9" i="4" l="1"/>
  <c r="AO25" i="4" s="1"/>
</calcChain>
</file>

<file path=xl/sharedStrings.xml><?xml version="1.0" encoding="utf-8"?>
<sst xmlns="http://schemas.openxmlformats.org/spreadsheetml/2006/main" count="2017" uniqueCount="156">
  <si>
    <r>
      <rPr>
        <b/>
        <sz val="14"/>
        <rFont val="맑은 고딕"/>
        <family val="3"/>
        <charset val="129"/>
      </rPr>
      <t>2026</t>
    </r>
    <r>
      <rPr>
        <b/>
        <sz val="14"/>
        <rFont val="Noto Sans CJK SC"/>
        <family val="2"/>
      </rPr>
      <t xml:space="preserve">년 </t>
    </r>
    <r>
      <rPr>
        <b/>
        <sz val="14"/>
        <rFont val="맑은 고딕"/>
        <family val="3"/>
        <charset val="129"/>
      </rPr>
      <t>02</t>
    </r>
    <r>
      <rPr>
        <b/>
        <sz val="14"/>
        <rFont val="Noto Sans CJK SC"/>
        <family val="2"/>
      </rPr>
      <t xml:space="preserve">월 </t>
    </r>
    <r>
      <rPr>
        <b/>
        <sz val="14"/>
        <rFont val="맑은 고딕"/>
        <family val="3"/>
        <charset val="129"/>
      </rPr>
      <t>42</t>
    </r>
    <r>
      <rPr>
        <b/>
        <sz val="14"/>
        <rFont val="Noto Sans CJK SC"/>
        <family val="2"/>
      </rPr>
      <t>병동 근무확정표</t>
    </r>
  </si>
  <si>
    <t>수간호사</t>
  </si>
  <si>
    <t>간호과장</t>
  </si>
  <si>
    <t>간호부장</t>
  </si>
  <si>
    <r>
      <rPr>
        <sz val="11"/>
        <color theme="1"/>
        <rFont val="Noto Sans CJK SC"/>
        <family val="2"/>
      </rPr>
      <t xml:space="preserve">확정일시 </t>
    </r>
    <r>
      <rPr>
        <sz val="11"/>
        <color theme="1"/>
        <rFont val="맑은 고딕"/>
        <family val="2"/>
        <charset val="1"/>
      </rPr>
      <t>:</t>
    </r>
  </si>
  <si>
    <r>
      <rPr>
        <sz val="11"/>
        <color theme="1"/>
        <rFont val="Noto Sans CJK SC"/>
        <family val="2"/>
      </rPr>
      <t xml:space="preserve">확정자 </t>
    </r>
    <r>
      <rPr>
        <sz val="11"/>
        <color theme="1"/>
        <rFont val="맑은 고딕"/>
        <family val="2"/>
        <charset val="1"/>
      </rPr>
      <t>:</t>
    </r>
  </si>
  <si>
    <r>
      <rPr>
        <sz val="11"/>
        <color theme="1"/>
        <rFont val="Noto Sans CJK SC"/>
        <family val="2"/>
      </rPr>
      <t xml:space="preserve">출력일시 </t>
    </r>
    <r>
      <rPr>
        <sz val="11"/>
        <color theme="1"/>
        <rFont val="맑은 고딕"/>
        <family val="2"/>
        <charset val="1"/>
      </rPr>
      <t>:</t>
    </r>
  </si>
  <si>
    <t>2026-01-16 17:17:19</t>
  </si>
  <si>
    <r>
      <rPr>
        <sz val="11"/>
        <color theme="1"/>
        <rFont val="Noto Sans CJK SC"/>
        <family val="2"/>
      </rPr>
      <t xml:space="preserve">작성자 </t>
    </r>
    <r>
      <rPr>
        <sz val="11"/>
        <color theme="1"/>
        <rFont val="맑은 고딕"/>
        <family val="2"/>
        <charset val="1"/>
      </rPr>
      <t>:</t>
    </r>
  </si>
  <si>
    <t>사원정보</t>
  </si>
  <si>
    <t>근무정보</t>
  </si>
  <si>
    <t>근무집계</t>
  </si>
  <si>
    <t>사원번호</t>
  </si>
  <si>
    <t>사원명</t>
  </si>
  <si>
    <t>직위</t>
  </si>
  <si>
    <t>D</t>
  </si>
  <si>
    <t>E</t>
  </si>
  <si>
    <t>N</t>
  </si>
  <si>
    <t>T</t>
  </si>
  <si>
    <t>X</t>
  </si>
  <si>
    <t>O</t>
  </si>
  <si>
    <t>일</t>
  </si>
  <si>
    <t>월</t>
  </si>
  <si>
    <t>화</t>
  </si>
  <si>
    <t>수</t>
  </si>
  <si>
    <t>목</t>
  </si>
  <si>
    <t>금</t>
  </si>
  <si>
    <t>토</t>
  </si>
  <si>
    <t>10400133</t>
  </si>
  <si>
    <t>HN</t>
  </si>
  <si>
    <t>B</t>
  </si>
  <si>
    <t>PEO</t>
  </si>
  <si>
    <t>C</t>
  </si>
  <si>
    <t>M</t>
  </si>
  <si>
    <t>10400188</t>
  </si>
  <si>
    <t>김경선</t>
  </si>
  <si>
    <t>CN</t>
  </si>
  <si>
    <t>H3</t>
  </si>
  <si>
    <t>Y</t>
  </si>
  <si>
    <t>10400527</t>
  </si>
  <si>
    <t>서유리</t>
  </si>
  <si>
    <t>RN</t>
  </si>
  <si>
    <t>10400901</t>
  </si>
  <si>
    <r>
      <rPr>
        <sz val="11"/>
        <color theme="1"/>
        <rFont val="Noto Sans CJK SC"/>
        <family val="2"/>
      </rPr>
      <t>김유진</t>
    </r>
    <r>
      <rPr>
        <sz val="11"/>
        <color theme="1"/>
        <rFont val="맑은 고딕"/>
        <family val="2"/>
        <charset val="1"/>
      </rPr>
      <t>B</t>
    </r>
  </si>
  <si>
    <t>10400954</t>
  </si>
  <si>
    <r>
      <rPr>
        <sz val="11"/>
        <color theme="1"/>
        <rFont val="Noto Sans CJK SC"/>
        <family val="2"/>
      </rPr>
      <t>이지민</t>
    </r>
    <r>
      <rPr>
        <sz val="11"/>
        <color theme="1"/>
        <rFont val="맑은 고딕"/>
        <family val="2"/>
        <charset val="1"/>
      </rPr>
      <t>B</t>
    </r>
  </si>
  <si>
    <t>10400962</t>
  </si>
  <si>
    <t>이동영</t>
  </si>
  <si>
    <t>10400993</t>
  </si>
  <si>
    <t>김문영</t>
  </si>
  <si>
    <t>10401132</t>
  </si>
  <si>
    <t>장현지</t>
  </si>
  <si>
    <t>CS2</t>
  </si>
  <si>
    <t>10401055</t>
  </si>
  <si>
    <t>정은우</t>
  </si>
  <si>
    <t>10401056</t>
  </si>
  <si>
    <t>선서영</t>
  </si>
  <si>
    <t>10401071</t>
  </si>
  <si>
    <t>양윤정</t>
  </si>
  <si>
    <t>10401138</t>
  </si>
  <si>
    <t>김혜림</t>
  </si>
  <si>
    <t>10401137</t>
  </si>
  <si>
    <t>우영후</t>
  </si>
  <si>
    <t>10401096</t>
  </si>
  <si>
    <t>김두영</t>
  </si>
  <si>
    <t>10401120</t>
  </si>
  <si>
    <t>박성주</t>
  </si>
  <si>
    <t>10400856</t>
  </si>
  <si>
    <t>조혜민</t>
  </si>
  <si>
    <t>M2</t>
  </si>
  <si>
    <t>합계</t>
  </si>
  <si>
    <t>소계</t>
  </si>
  <si>
    <t>진인숙</t>
    <phoneticPr fontId="10" type="noConversion"/>
  </si>
  <si>
    <t>D</t>
    <phoneticPr fontId="10" type="noConversion"/>
  </si>
  <si>
    <t>X+O</t>
    <phoneticPr fontId="10" type="noConversion"/>
  </si>
  <si>
    <t>T + X</t>
    <phoneticPr fontId="10" type="noConversion"/>
  </si>
  <si>
    <t>김예림</t>
    <phoneticPr fontId="10" type="noConversion"/>
  </si>
  <si>
    <t>신서영</t>
    <phoneticPr fontId="10" type="noConversion"/>
  </si>
  <si>
    <t>강문영</t>
    <phoneticPr fontId="10" type="noConversion"/>
  </si>
  <si>
    <t>E</t>
    <phoneticPr fontId="10" type="noConversion"/>
  </si>
  <si>
    <t>O</t>
    <phoneticPr fontId="10" type="noConversion"/>
  </si>
  <si>
    <r>
      <t>2026년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02월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42병동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근무표</t>
    </r>
    <phoneticPr fontId="10" type="noConversion"/>
  </si>
  <si>
    <t>O</t>
    <phoneticPr fontId="10" type="noConversion"/>
  </si>
  <si>
    <t>D</t>
    <phoneticPr fontId="10" type="noConversion"/>
  </si>
  <si>
    <t>C</t>
    <phoneticPr fontId="10" type="noConversion"/>
  </si>
  <si>
    <t>X</t>
    <phoneticPr fontId="10" type="noConversion"/>
  </si>
  <si>
    <t>C</t>
    <phoneticPr fontId="10" type="noConversion"/>
  </si>
  <si>
    <t>O</t>
    <phoneticPr fontId="10" type="noConversion"/>
  </si>
  <si>
    <t>C</t>
    <phoneticPr fontId="10" type="noConversion"/>
  </si>
  <si>
    <t>C6</t>
    <phoneticPr fontId="10" type="noConversion"/>
  </si>
  <si>
    <t>C6</t>
    <phoneticPr fontId="10" type="noConversion"/>
  </si>
  <si>
    <t>구댜해</t>
    <phoneticPr fontId="10" type="noConversion"/>
  </si>
  <si>
    <t>RN</t>
    <phoneticPr fontId="10" type="noConversion"/>
  </si>
  <si>
    <t>C6</t>
    <phoneticPr fontId="10" type="noConversion"/>
  </si>
  <si>
    <t>Y6</t>
    <phoneticPr fontId="10" type="noConversion"/>
  </si>
  <si>
    <t>Y6</t>
    <phoneticPr fontId="10" type="noConversion"/>
  </si>
  <si>
    <t>M</t>
    <phoneticPr fontId="10" type="noConversion"/>
  </si>
  <si>
    <t>C6</t>
    <phoneticPr fontId="10" type="noConversion"/>
  </si>
  <si>
    <t>Y</t>
    <phoneticPr fontId="10" type="noConversion"/>
  </si>
  <si>
    <t>M</t>
    <phoneticPr fontId="10" type="noConversion"/>
  </si>
  <si>
    <t>B</t>
    <phoneticPr fontId="10" type="noConversion"/>
  </si>
  <si>
    <t>D</t>
    <phoneticPr fontId="10" type="noConversion"/>
  </si>
  <si>
    <t>X</t>
    <phoneticPr fontId="10" type="noConversion"/>
  </si>
  <si>
    <t>O</t>
    <phoneticPr fontId="10" type="noConversion"/>
  </si>
  <si>
    <t>X</t>
    <phoneticPr fontId="10" type="noConversion"/>
  </si>
  <si>
    <t>O</t>
    <phoneticPr fontId="10" type="noConversion"/>
  </si>
  <si>
    <t>O</t>
    <phoneticPr fontId="10" type="noConversion"/>
  </si>
  <si>
    <t>일</t>
    <phoneticPr fontId="10" type="noConversion"/>
  </si>
  <si>
    <t>C6</t>
    <phoneticPr fontId="10" type="noConversion"/>
  </si>
  <si>
    <t>C6</t>
    <phoneticPr fontId="10" type="noConversion"/>
  </si>
  <si>
    <t>Y</t>
    <phoneticPr fontId="10" type="noConversion"/>
  </si>
  <si>
    <t>D</t>
    <phoneticPr fontId="10" type="noConversion"/>
  </si>
  <si>
    <t>O</t>
    <phoneticPr fontId="10" type="noConversion"/>
  </si>
  <si>
    <t>D</t>
    <phoneticPr fontId="10" type="noConversion"/>
  </si>
  <si>
    <t>O</t>
    <phoneticPr fontId="10" type="noConversion"/>
  </si>
  <si>
    <t>X</t>
    <phoneticPr fontId="10" type="noConversion"/>
  </si>
  <si>
    <t>O</t>
    <phoneticPr fontId="10" type="noConversion"/>
  </si>
  <si>
    <t>N</t>
    <phoneticPr fontId="10" type="noConversion"/>
  </si>
  <si>
    <t>X</t>
    <phoneticPr fontId="10" type="noConversion"/>
  </si>
  <si>
    <t>M</t>
    <phoneticPr fontId="10" type="noConversion"/>
  </si>
  <si>
    <t>E</t>
    <phoneticPr fontId="10" type="noConversion"/>
  </si>
  <si>
    <t>X</t>
    <phoneticPr fontId="10" type="noConversion"/>
  </si>
  <si>
    <t>D</t>
    <phoneticPr fontId="10" type="noConversion"/>
  </si>
  <si>
    <t>C</t>
    <phoneticPr fontId="10" type="noConversion"/>
  </si>
  <si>
    <t>N</t>
    <phoneticPr fontId="10" type="noConversion"/>
  </si>
  <si>
    <t>N</t>
    <phoneticPr fontId="10" type="noConversion"/>
  </si>
  <si>
    <t>O</t>
    <phoneticPr fontId="10" type="noConversion"/>
  </si>
  <si>
    <t>N</t>
    <phoneticPr fontId="10" type="noConversion"/>
  </si>
  <si>
    <t>N</t>
    <phoneticPr fontId="10" type="noConversion"/>
  </si>
  <si>
    <t>X</t>
    <phoneticPr fontId="10" type="noConversion"/>
  </si>
  <si>
    <t>X</t>
    <phoneticPr fontId="10" type="noConversion"/>
  </si>
  <si>
    <t>N</t>
    <phoneticPr fontId="10" type="noConversion"/>
  </si>
  <si>
    <t>D</t>
    <phoneticPr fontId="10" type="noConversion"/>
  </si>
  <si>
    <t>D</t>
    <phoneticPr fontId="10" type="noConversion"/>
  </si>
  <si>
    <t>D</t>
    <phoneticPr fontId="10" type="noConversion"/>
  </si>
  <si>
    <t>N</t>
    <phoneticPr fontId="10" type="noConversion"/>
  </si>
  <si>
    <t>X</t>
    <phoneticPr fontId="10" type="noConversion"/>
  </si>
  <si>
    <t>C</t>
    <phoneticPr fontId="10" type="noConversion"/>
  </si>
  <si>
    <t>N</t>
    <phoneticPr fontId="10" type="noConversion"/>
  </si>
  <si>
    <t>N</t>
    <phoneticPr fontId="10" type="noConversion"/>
  </si>
  <si>
    <t>X</t>
    <phoneticPr fontId="10" type="noConversion"/>
  </si>
  <si>
    <t>O</t>
    <phoneticPr fontId="10" type="noConversion"/>
  </si>
  <si>
    <t>X</t>
    <phoneticPr fontId="10" type="noConversion"/>
  </si>
  <si>
    <t>O</t>
    <phoneticPr fontId="10" type="noConversion"/>
  </si>
  <si>
    <t>N</t>
    <phoneticPr fontId="10" type="noConversion"/>
  </si>
  <si>
    <t>N</t>
    <phoneticPr fontId="10" type="noConversion"/>
  </si>
  <si>
    <t>X</t>
    <phoneticPr fontId="10" type="noConversion"/>
  </si>
  <si>
    <t>N</t>
    <phoneticPr fontId="10" type="noConversion"/>
  </si>
  <si>
    <t>C</t>
    <phoneticPr fontId="10" type="noConversion"/>
  </si>
  <si>
    <t>N</t>
    <phoneticPr fontId="10" type="noConversion"/>
  </si>
  <si>
    <t>N</t>
    <phoneticPr fontId="10" type="noConversion"/>
  </si>
  <si>
    <r>
      <t>2026년</t>
    </r>
    <r>
      <rPr>
        <b/>
        <sz val="20"/>
        <rFont val="맑은 고딕"/>
        <family val="2"/>
        <charset val="129"/>
      </rPr>
      <t xml:space="preserve"> </t>
    </r>
    <r>
      <rPr>
        <b/>
        <sz val="20"/>
        <rFont val="맑은 고딕"/>
        <family val="3"/>
        <charset val="129"/>
      </rPr>
      <t>03월</t>
    </r>
    <r>
      <rPr>
        <b/>
        <sz val="20"/>
        <rFont val="맑은 고딕"/>
        <family val="2"/>
        <charset val="129"/>
      </rPr>
      <t xml:space="preserve"> </t>
    </r>
    <r>
      <rPr>
        <b/>
        <sz val="20"/>
        <rFont val="맑은 고딕"/>
        <family val="3"/>
        <charset val="129"/>
      </rPr>
      <t>42병동</t>
    </r>
    <r>
      <rPr>
        <b/>
        <sz val="20"/>
        <rFont val="맑은 고딕"/>
        <family val="2"/>
        <charset val="129"/>
      </rPr>
      <t xml:space="preserve"> </t>
    </r>
    <r>
      <rPr>
        <b/>
        <sz val="20"/>
        <rFont val="맑은 고딕"/>
        <family val="3"/>
        <charset val="129"/>
      </rPr>
      <t>근무표</t>
    </r>
    <phoneticPr fontId="10" type="noConversion"/>
  </si>
  <si>
    <t>소계</t>
    <phoneticPr fontId="10" type="noConversion"/>
  </si>
  <si>
    <t>일별 총인원(명)</t>
    <phoneticPr fontId="10" type="noConversion"/>
  </si>
  <si>
    <t>비고</t>
    <phoneticPr fontId="10" type="noConversion"/>
  </si>
  <si>
    <t>육아휴직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</si>
</sst>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4"/>
      <name val="Noto Sans CJK SC"/>
      <family val="2"/>
    </font>
    <font>
      <sz val="9"/>
      <name val="Noto Sans CJK SC"/>
      <family val="2"/>
    </font>
    <font>
      <sz val="11"/>
      <color theme="1"/>
      <name val="Noto Sans CJK SC"/>
      <family val="2"/>
    </font>
    <font>
      <b/>
      <sz val="11"/>
      <name val="Cambria"/>
      <family val="1"/>
    </font>
    <font>
      <sz val="9"/>
      <color rgb="FFFF0000"/>
      <name val="Noto Sans CJK SC"/>
      <family val="2"/>
    </font>
    <font>
      <sz val="9"/>
      <color rgb="FF0000FF"/>
      <name val="Noto Sans CJK SC"/>
      <family val="2"/>
    </font>
    <font>
      <sz val="9"/>
      <name val="맑은 고딕"/>
      <family val="3"/>
      <charset val="129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20"/>
      <name val="맑은 고딕"/>
      <family val="3"/>
      <charset val="129"/>
    </font>
    <font>
      <b/>
      <sz val="20"/>
      <name val="Arial"/>
      <family val="2"/>
    </font>
    <font>
      <b/>
      <sz val="11"/>
      <color theme="1"/>
      <name val="돋움"/>
      <family val="3"/>
      <charset val="129"/>
    </font>
    <font>
      <sz val="9"/>
      <color rgb="FFFF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rgb="FF0000FF"/>
      <name val="돋움"/>
      <family val="3"/>
      <charset val="129"/>
    </font>
    <font>
      <b/>
      <sz val="2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trike/>
      <sz val="11"/>
      <color rgb="FFFF0000"/>
      <name val="맑은 고딕"/>
      <family val="2"/>
      <charset val="1"/>
    </font>
    <font>
      <b/>
      <strike/>
      <sz val="11"/>
      <color rgb="FFFF0000"/>
      <name val="Noto Sans CJK SC"/>
      <family val="2"/>
    </font>
    <font>
      <b/>
      <strike/>
      <sz val="9"/>
      <color rgb="FFFF0000"/>
      <name val="맑은 고딕"/>
      <family val="3"/>
      <charset val="129"/>
    </font>
    <font>
      <b/>
      <sz val="9"/>
      <name val="Noto Sans CJK SC"/>
    </font>
    <font>
      <b/>
      <sz val="9"/>
      <color rgb="FFFF0000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FFCCCC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5" tint="0.59999389629810485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92D050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0" fontId="21" fillId="0" borderId="1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/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7" zoomScale="170" zoomScaleNormal="170" workbookViewId="0">
      <selection activeCell="A7" sqref="A1:XFD1048576"/>
    </sheetView>
  </sheetViews>
  <sheetFormatPr defaultColWidth="8.5" defaultRowHeight="17.399999999999999"/>
  <cols>
    <col min="1" max="1" width="11" customWidth="1"/>
    <col min="2" max="2" width="7" customWidth="1"/>
    <col min="3" max="3" width="4" customWidth="1"/>
    <col min="4" max="31" width="3.5" customWidth="1"/>
    <col min="32" max="32" width="7.5" bestFit="1" customWidth="1"/>
    <col min="33" max="34" width="3.5" customWidth="1"/>
    <col min="35" max="35" width="5.19921875" bestFit="1" customWidth="1"/>
    <col min="36" max="36" width="3.5" customWidth="1"/>
    <col min="37" max="37" width="5.09765625" bestFit="1" customWidth="1"/>
  </cols>
  <sheetData>
    <row r="1" spans="1:38" ht="15" customHeight="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1" t="s">
        <v>1</v>
      </c>
      <c r="AG1" s="1" t="s">
        <v>2</v>
      </c>
      <c r="AH1" s="1" t="s">
        <v>3</v>
      </c>
    </row>
    <row r="2" spans="1:38" ht="15" customHeight="1">
      <c r="AF2" s="2"/>
      <c r="AG2" s="2"/>
      <c r="AH2" s="2"/>
    </row>
    <row r="3" spans="1:38" ht="15" customHeight="1">
      <c r="A3" s="3" t="s">
        <v>4</v>
      </c>
      <c r="D3" s="3" t="s">
        <v>5</v>
      </c>
      <c r="AF3" s="2"/>
      <c r="AG3" s="2"/>
      <c r="AH3" s="2"/>
    </row>
    <row r="4" spans="1:38" ht="15" customHeight="1">
      <c r="A4" s="3" t="s">
        <v>6</v>
      </c>
      <c r="B4" t="s">
        <v>7</v>
      </c>
      <c r="D4" s="3" t="s">
        <v>8</v>
      </c>
    </row>
    <row r="5" spans="1:38" ht="15" customHeight="1"/>
    <row r="6" spans="1:38" ht="15" customHeight="1">
      <c r="A6" s="95" t="s">
        <v>9</v>
      </c>
      <c r="B6" s="95"/>
      <c r="C6" s="95"/>
      <c r="D6" s="95" t="s">
        <v>10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7" t="s">
        <v>11</v>
      </c>
      <c r="AG6" s="98"/>
      <c r="AH6" s="98"/>
      <c r="AI6" s="98"/>
      <c r="AJ6" s="98"/>
      <c r="AK6" s="98"/>
      <c r="AL6" s="99"/>
    </row>
    <row r="7" spans="1:38" ht="15" customHeight="1">
      <c r="A7" s="4" t="s">
        <v>12</v>
      </c>
      <c r="B7" s="4" t="s">
        <v>13</v>
      </c>
      <c r="C7" s="4" t="s">
        <v>14</v>
      </c>
      <c r="D7" s="1">
        <v>1</v>
      </c>
      <c r="E7" s="1">
        <v>2</v>
      </c>
      <c r="F7" s="1">
        <v>3</v>
      </c>
      <c r="G7" s="1">
        <v>4</v>
      </c>
      <c r="H7" s="1">
        <v>5</v>
      </c>
      <c r="I7" s="1">
        <v>6</v>
      </c>
      <c r="J7" s="1">
        <v>7</v>
      </c>
      <c r="K7" s="1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1">
        <v>14</v>
      </c>
      <c r="R7" s="1">
        <v>15</v>
      </c>
      <c r="S7" s="1">
        <v>16</v>
      </c>
      <c r="T7" s="1">
        <v>17</v>
      </c>
      <c r="U7" s="1">
        <v>18</v>
      </c>
      <c r="V7" s="1">
        <v>19</v>
      </c>
      <c r="W7" s="1">
        <v>20</v>
      </c>
      <c r="X7" s="1">
        <v>21</v>
      </c>
      <c r="Y7" s="1">
        <v>22</v>
      </c>
      <c r="Z7" s="1">
        <v>23</v>
      </c>
      <c r="AA7" s="1">
        <v>24</v>
      </c>
      <c r="AB7" s="1">
        <v>25</v>
      </c>
      <c r="AC7" s="1">
        <v>26</v>
      </c>
      <c r="AD7" s="1">
        <v>27</v>
      </c>
      <c r="AE7" s="1">
        <v>28</v>
      </c>
      <c r="AF7" s="5" t="s">
        <v>15</v>
      </c>
      <c r="AG7" s="5" t="s">
        <v>16</v>
      </c>
      <c r="AH7" s="5" t="s">
        <v>17</v>
      </c>
      <c r="AI7" s="5" t="s">
        <v>18</v>
      </c>
      <c r="AJ7" s="5" t="s">
        <v>19</v>
      </c>
      <c r="AK7" s="5" t="s">
        <v>20</v>
      </c>
      <c r="AL7" s="17" t="s">
        <v>74</v>
      </c>
    </row>
    <row r="8" spans="1:38" ht="15" customHeight="1">
      <c r="A8" s="2"/>
      <c r="B8" s="2"/>
      <c r="C8" s="2"/>
      <c r="D8" s="6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7" t="s">
        <v>27</v>
      </c>
      <c r="K8" s="6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7" t="s">
        <v>27</v>
      </c>
      <c r="R8" s="6" t="s">
        <v>21</v>
      </c>
      <c r="S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  <c r="X8" s="7" t="s">
        <v>27</v>
      </c>
      <c r="Y8" s="6" t="s">
        <v>21</v>
      </c>
      <c r="Z8" s="1" t="s">
        <v>22</v>
      </c>
      <c r="AA8" s="1" t="s">
        <v>23</v>
      </c>
      <c r="AB8" s="1" t="s">
        <v>24</v>
      </c>
      <c r="AC8" s="1" t="s">
        <v>25</v>
      </c>
      <c r="AD8" s="1" t="s">
        <v>26</v>
      </c>
      <c r="AE8" s="7" t="s">
        <v>27</v>
      </c>
      <c r="AF8" s="2"/>
      <c r="AG8" s="2"/>
      <c r="AH8" s="2"/>
      <c r="AI8" s="2"/>
      <c r="AJ8" s="2"/>
      <c r="AK8" s="2"/>
      <c r="AL8" s="2"/>
    </row>
    <row r="9" spans="1:38" ht="15" customHeight="1">
      <c r="A9" s="8" t="s">
        <v>28</v>
      </c>
      <c r="B9" s="4" t="s">
        <v>72</v>
      </c>
      <c r="C9" s="8" t="s">
        <v>29</v>
      </c>
      <c r="D9" s="9" t="s">
        <v>20</v>
      </c>
      <c r="E9" s="9" t="s">
        <v>15</v>
      </c>
      <c r="F9" s="9" t="s">
        <v>30</v>
      </c>
      <c r="G9" s="9" t="s">
        <v>15</v>
      </c>
      <c r="H9" s="9" t="s">
        <v>73</v>
      </c>
      <c r="I9" s="9" t="s">
        <v>15</v>
      </c>
      <c r="J9" s="9" t="s">
        <v>19</v>
      </c>
      <c r="K9" s="9" t="s">
        <v>20</v>
      </c>
      <c r="L9" s="9" t="s">
        <v>31</v>
      </c>
      <c r="M9" s="9" t="s">
        <v>31</v>
      </c>
      <c r="N9" s="9" t="s">
        <v>15</v>
      </c>
      <c r="O9" s="9" t="s">
        <v>15</v>
      </c>
      <c r="P9" s="9" t="s">
        <v>15</v>
      </c>
      <c r="Q9" s="9" t="s">
        <v>19</v>
      </c>
      <c r="R9" s="9" t="s">
        <v>20</v>
      </c>
      <c r="S9" s="9" t="s">
        <v>32</v>
      </c>
      <c r="T9" s="9" t="s">
        <v>32</v>
      </c>
      <c r="U9" s="9" t="s">
        <v>32</v>
      </c>
      <c r="V9" s="9" t="s">
        <v>15</v>
      </c>
      <c r="W9" s="9" t="s">
        <v>15</v>
      </c>
      <c r="X9" s="9" t="s">
        <v>19</v>
      </c>
      <c r="Y9" s="9" t="s">
        <v>20</v>
      </c>
      <c r="Z9" s="9" t="s">
        <v>15</v>
      </c>
      <c r="AA9" s="9" t="s">
        <v>15</v>
      </c>
      <c r="AB9" s="9" t="s">
        <v>15</v>
      </c>
      <c r="AC9" s="9" t="s">
        <v>33</v>
      </c>
      <c r="AD9" s="9" t="s">
        <v>15</v>
      </c>
      <c r="AE9" s="9" t="s">
        <v>19</v>
      </c>
      <c r="AF9" s="10">
        <f t="shared" ref="AF9:AF24" si="0">COUNTIF(D9:AE9,"D")</f>
        <v>13</v>
      </c>
      <c r="AG9" s="10">
        <f t="shared" ref="AG9:AG24" si="1">COUNTIF(D9:AE9,"E")</f>
        <v>0</v>
      </c>
      <c r="AH9" s="10">
        <f t="shared" ref="AH9:AH24" si="2">COUNTIF(D9:AE9,"N")</f>
        <v>0</v>
      </c>
      <c r="AI9" s="10">
        <f t="shared" ref="AI9:AI24" si="3">COUNTIF(D9:AE9,"T")</f>
        <v>0</v>
      </c>
      <c r="AJ9" s="10">
        <f t="shared" ref="AJ9:AJ24" si="4">COUNTIF(D9:AE9,"X")</f>
        <v>4</v>
      </c>
      <c r="AK9" s="10">
        <f t="shared" ref="AK9:AK24" si="5">28-AF9-AG9-AH9-AI9-AJ9</f>
        <v>11</v>
      </c>
      <c r="AL9" s="2">
        <f>SUM(AJ9:AK9)</f>
        <v>15</v>
      </c>
    </row>
    <row r="10" spans="1:38" ht="15" customHeight="1">
      <c r="A10" s="8" t="s">
        <v>34</v>
      </c>
      <c r="B10" s="4" t="s">
        <v>35</v>
      </c>
      <c r="C10" s="8" t="s">
        <v>36</v>
      </c>
      <c r="D10" s="9" t="s">
        <v>20</v>
      </c>
      <c r="E10" s="9" t="s">
        <v>15</v>
      </c>
      <c r="F10" s="9" t="s">
        <v>15</v>
      </c>
      <c r="G10" s="11" t="s">
        <v>15</v>
      </c>
      <c r="H10" s="11" t="s">
        <v>37</v>
      </c>
      <c r="I10" s="9" t="s">
        <v>38</v>
      </c>
      <c r="J10" s="9" t="s">
        <v>19</v>
      </c>
      <c r="K10" s="9" t="s">
        <v>20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19</v>
      </c>
      <c r="R10" s="9" t="s">
        <v>20</v>
      </c>
      <c r="S10" s="9" t="s">
        <v>32</v>
      </c>
      <c r="T10" s="9" t="s">
        <v>32</v>
      </c>
      <c r="U10" s="9" t="s">
        <v>32</v>
      </c>
      <c r="V10" s="9" t="s">
        <v>15</v>
      </c>
      <c r="W10" s="9" t="s">
        <v>15</v>
      </c>
      <c r="X10" s="9" t="s">
        <v>19</v>
      </c>
      <c r="Y10" s="9" t="s">
        <v>20</v>
      </c>
      <c r="Z10" s="9" t="s">
        <v>15</v>
      </c>
      <c r="AA10" s="9" t="s">
        <v>15</v>
      </c>
      <c r="AB10" s="9" t="s">
        <v>33</v>
      </c>
      <c r="AC10" s="9" t="s">
        <v>15</v>
      </c>
      <c r="AD10" s="9" t="s">
        <v>15</v>
      </c>
      <c r="AE10" s="9" t="s">
        <v>19</v>
      </c>
      <c r="AF10" s="10">
        <f t="shared" si="0"/>
        <v>14</v>
      </c>
      <c r="AG10" s="10">
        <f t="shared" si="1"/>
        <v>0</v>
      </c>
      <c r="AH10" s="10">
        <f t="shared" si="2"/>
        <v>0</v>
      </c>
      <c r="AI10" s="10">
        <f t="shared" si="3"/>
        <v>0</v>
      </c>
      <c r="AJ10" s="10">
        <f t="shared" si="4"/>
        <v>4</v>
      </c>
      <c r="AK10" s="10">
        <f t="shared" si="5"/>
        <v>10</v>
      </c>
      <c r="AL10" s="2">
        <f t="shared" ref="AL10:AL24" si="6">SUM(AJ10:AK10)</f>
        <v>14</v>
      </c>
    </row>
    <row r="11" spans="1:38" ht="15" customHeight="1">
      <c r="A11" s="8" t="s">
        <v>39</v>
      </c>
      <c r="B11" s="4" t="s">
        <v>40</v>
      </c>
      <c r="C11" s="8" t="s">
        <v>41</v>
      </c>
      <c r="D11" s="9" t="s">
        <v>15</v>
      </c>
      <c r="E11" s="9" t="s">
        <v>15</v>
      </c>
      <c r="F11" s="9" t="s">
        <v>15</v>
      </c>
      <c r="G11" s="9" t="s">
        <v>16</v>
      </c>
      <c r="H11" s="11" t="s">
        <v>32</v>
      </c>
      <c r="I11" s="11" t="s">
        <v>33</v>
      </c>
      <c r="J11" s="9" t="s">
        <v>19</v>
      </c>
      <c r="K11" s="11" t="s">
        <v>20</v>
      </c>
      <c r="L11" s="9" t="s">
        <v>19</v>
      </c>
      <c r="M11" s="9" t="s">
        <v>17</v>
      </c>
      <c r="N11" s="9" t="s">
        <v>17</v>
      </c>
      <c r="O11" s="9" t="s">
        <v>20</v>
      </c>
      <c r="P11" s="9" t="s">
        <v>32</v>
      </c>
      <c r="Q11" s="9" t="s">
        <v>15</v>
      </c>
      <c r="R11" s="9" t="s">
        <v>16</v>
      </c>
      <c r="S11" s="9" t="s">
        <v>19</v>
      </c>
      <c r="T11" s="9" t="s">
        <v>20</v>
      </c>
      <c r="U11" s="9" t="s">
        <v>32</v>
      </c>
      <c r="V11" s="9" t="s">
        <v>15</v>
      </c>
      <c r="W11" s="9" t="s">
        <v>15</v>
      </c>
      <c r="X11" s="22" t="s">
        <v>15</v>
      </c>
      <c r="Y11" s="23" t="s">
        <v>38</v>
      </c>
      <c r="Z11" s="9" t="s">
        <v>15</v>
      </c>
      <c r="AA11" s="9" t="s">
        <v>15</v>
      </c>
      <c r="AB11" s="9" t="s">
        <v>15</v>
      </c>
      <c r="AC11" s="9" t="s">
        <v>17</v>
      </c>
      <c r="AD11" s="9" t="s">
        <v>17</v>
      </c>
      <c r="AE11" s="23" t="s">
        <v>19</v>
      </c>
      <c r="AF11" s="10">
        <f t="shared" si="0"/>
        <v>10</v>
      </c>
      <c r="AG11" s="10">
        <f t="shared" si="1"/>
        <v>2</v>
      </c>
      <c r="AH11" s="10">
        <f t="shared" si="2"/>
        <v>4</v>
      </c>
      <c r="AI11" s="10">
        <f t="shared" si="3"/>
        <v>0</v>
      </c>
      <c r="AJ11" s="10">
        <f t="shared" si="4"/>
        <v>4</v>
      </c>
      <c r="AK11" s="10">
        <f t="shared" si="5"/>
        <v>8</v>
      </c>
      <c r="AL11" s="2">
        <f t="shared" si="6"/>
        <v>12</v>
      </c>
    </row>
    <row r="12" spans="1:38" ht="15" customHeight="1">
      <c r="A12" s="8" t="s">
        <v>42</v>
      </c>
      <c r="B12" s="4" t="s">
        <v>43</v>
      </c>
      <c r="C12" s="8" t="s">
        <v>41</v>
      </c>
      <c r="D12" s="9" t="s">
        <v>17</v>
      </c>
      <c r="E12" s="9" t="s">
        <v>19</v>
      </c>
      <c r="F12" s="9" t="s">
        <v>20</v>
      </c>
      <c r="G12" s="11" t="s">
        <v>15</v>
      </c>
      <c r="H12" s="11" t="s">
        <v>15</v>
      </c>
      <c r="I12" s="11" t="s">
        <v>16</v>
      </c>
      <c r="J12" s="9" t="s">
        <v>16</v>
      </c>
      <c r="K12" s="9" t="s">
        <v>16</v>
      </c>
      <c r="L12" s="9" t="s">
        <v>19</v>
      </c>
      <c r="M12" s="9" t="s">
        <v>20</v>
      </c>
      <c r="N12" s="9" t="s">
        <v>33</v>
      </c>
      <c r="O12" s="9" t="s">
        <v>15</v>
      </c>
      <c r="P12" s="9" t="s">
        <v>16</v>
      </c>
      <c r="Q12" s="9" t="s">
        <v>17</v>
      </c>
      <c r="R12" s="9" t="s">
        <v>17</v>
      </c>
      <c r="S12" s="9" t="s">
        <v>19</v>
      </c>
      <c r="T12" s="11" t="s">
        <v>20</v>
      </c>
      <c r="U12" s="11" t="s">
        <v>15</v>
      </c>
      <c r="V12" s="11" t="s">
        <v>15</v>
      </c>
      <c r="W12" s="9" t="s">
        <v>15</v>
      </c>
      <c r="X12" s="9" t="s">
        <v>32</v>
      </c>
      <c r="Y12" s="9" t="s">
        <v>16</v>
      </c>
      <c r="Z12" s="9" t="s">
        <v>20</v>
      </c>
      <c r="AA12" s="9" t="s">
        <v>17</v>
      </c>
      <c r="AB12" s="9" t="s">
        <v>17</v>
      </c>
      <c r="AC12" s="11" t="s">
        <v>19</v>
      </c>
      <c r="AD12" s="9" t="s">
        <v>32</v>
      </c>
      <c r="AE12" s="9" t="s">
        <v>15</v>
      </c>
      <c r="AF12" s="10">
        <f t="shared" si="0"/>
        <v>7</v>
      </c>
      <c r="AG12" s="10">
        <f t="shared" si="1"/>
        <v>5</v>
      </c>
      <c r="AH12" s="10">
        <f t="shared" si="2"/>
        <v>5</v>
      </c>
      <c r="AI12" s="10">
        <f t="shared" si="3"/>
        <v>0</v>
      </c>
      <c r="AJ12" s="10">
        <f t="shared" si="4"/>
        <v>4</v>
      </c>
      <c r="AK12" s="10">
        <f t="shared" si="5"/>
        <v>7</v>
      </c>
      <c r="AL12" s="2">
        <f t="shared" si="6"/>
        <v>11</v>
      </c>
    </row>
    <row r="13" spans="1:38" ht="15" customHeight="1">
      <c r="A13" s="8" t="s">
        <v>44</v>
      </c>
      <c r="B13" s="4" t="s">
        <v>45</v>
      </c>
      <c r="C13" s="8" t="s">
        <v>41</v>
      </c>
      <c r="D13" s="9" t="s">
        <v>19</v>
      </c>
      <c r="E13" s="9" t="s">
        <v>15</v>
      </c>
      <c r="F13" s="9" t="s">
        <v>15</v>
      </c>
      <c r="G13" s="9" t="s">
        <v>20</v>
      </c>
      <c r="H13" s="11" t="s">
        <v>15</v>
      </c>
      <c r="I13" s="11" t="s">
        <v>15</v>
      </c>
      <c r="J13" s="9" t="s">
        <v>15</v>
      </c>
      <c r="K13" s="9" t="s">
        <v>17</v>
      </c>
      <c r="L13" s="9" t="s">
        <v>17</v>
      </c>
      <c r="M13" s="9" t="s">
        <v>33</v>
      </c>
      <c r="N13" s="9" t="s">
        <v>20</v>
      </c>
      <c r="O13" s="9" t="s">
        <v>16</v>
      </c>
      <c r="P13" s="11" t="s">
        <v>16</v>
      </c>
      <c r="Q13" s="9" t="s">
        <v>19</v>
      </c>
      <c r="R13" s="9" t="s">
        <v>15</v>
      </c>
      <c r="S13" s="11" t="s">
        <v>19</v>
      </c>
      <c r="T13" s="9" t="s">
        <v>20</v>
      </c>
      <c r="U13" s="11" t="s">
        <v>16</v>
      </c>
      <c r="V13" s="9" t="s">
        <v>16</v>
      </c>
      <c r="W13" s="9" t="s">
        <v>17</v>
      </c>
      <c r="X13" s="9" t="s">
        <v>17</v>
      </c>
      <c r="Y13" s="9" t="s">
        <v>32</v>
      </c>
      <c r="Z13" s="9" t="s">
        <v>19</v>
      </c>
      <c r="AA13" s="9" t="s">
        <v>15</v>
      </c>
      <c r="AB13" s="9" t="s">
        <v>15</v>
      </c>
      <c r="AC13" s="9" t="s">
        <v>16</v>
      </c>
      <c r="AD13" s="9" t="s">
        <v>20</v>
      </c>
      <c r="AE13" s="9" t="s">
        <v>32</v>
      </c>
      <c r="AF13" s="10">
        <f t="shared" si="0"/>
        <v>8</v>
      </c>
      <c r="AG13" s="10">
        <f t="shared" si="1"/>
        <v>5</v>
      </c>
      <c r="AH13" s="10">
        <f t="shared" si="2"/>
        <v>4</v>
      </c>
      <c r="AI13" s="10">
        <f t="shared" si="3"/>
        <v>0</v>
      </c>
      <c r="AJ13" s="10">
        <f t="shared" si="4"/>
        <v>4</v>
      </c>
      <c r="AK13" s="10">
        <f t="shared" si="5"/>
        <v>7</v>
      </c>
      <c r="AL13" s="2">
        <f t="shared" si="6"/>
        <v>11</v>
      </c>
    </row>
    <row r="14" spans="1:38" ht="15" customHeight="1">
      <c r="A14" s="8" t="s">
        <v>46</v>
      </c>
      <c r="B14" s="4" t="s">
        <v>47</v>
      </c>
      <c r="C14" s="8" t="s">
        <v>41</v>
      </c>
      <c r="D14" s="9" t="s">
        <v>32</v>
      </c>
      <c r="E14" s="9" t="s">
        <v>16</v>
      </c>
      <c r="F14" s="9" t="s">
        <v>16</v>
      </c>
      <c r="G14" s="9" t="s">
        <v>19</v>
      </c>
      <c r="H14" s="9" t="s">
        <v>16</v>
      </c>
      <c r="I14" s="9" t="s">
        <v>17</v>
      </c>
      <c r="J14" s="9" t="s">
        <v>17</v>
      </c>
      <c r="K14" s="9" t="s">
        <v>20</v>
      </c>
      <c r="L14" s="9" t="s">
        <v>33</v>
      </c>
      <c r="M14" s="9" t="s">
        <v>15</v>
      </c>
      <c r="N14" s="11" t="s">
        <v>15</v>
      </c>
      <c r="O14" s="9" t="s">
        <v>15</v>
      </c>
      <c r="P14" s="11" t="s">
        <v>20</v>
      </c>
      <c r="Q14" s="11" t="s">
        <v>19</v>
      </c>
      <c r="R14" s="11" t="s">
        <v>32</v>
      </c>
      <c r="S14" s="9" t="s">
        <v>32</v>
      </c>
      <c r="T14" s="9" t="s">
        <v>15</v>
      </c>
      <c r="U14" s="9" t="s">
        <v>17</v>
      </c>
      <c r="V14" s="9" t="s">
        <v>17</v>
      </c>
      <c r="W14" s="9" t="s">
        <v>19</v>
      </c>
      <c r="X14" s="9" t="s">
        <v>20</v>
      </c>
      <c r="Y14" s="9" t="s">
        <v>15</v>
      </c>
      <c r="Z14" s="9" t="s">
        <v>16</v>
      </c>
      <c r="AA14" s="9" t="s">
        <v>16</v>
      </c>
      <c r="AB14" s="9" t="s">
        <v>16</v>
      </c>
      <c r="AC14" s="9" t="s">
        <v>19</v>
      </c>
      <c r="AD14" s="9" t="s">
        <v>16</v>
      </c>
      <c r="AE14" s="9" t="s">
        <v>16</v>
      </c>
      <c r="AF14" s="10">
        <f t="shared" si="0"/>
        <v>5</v>
      </c>
      <c r="AG14" s="10">
        <f t="shared" si="1"/>
        <v>8</v>
      </c>
      <c r="AH14" s="10">
        <f t="shared" si="2"/>
        <v>4</v>
      </c>
      <c r="AI14" s="10">
        <f t="shared" si="3"/>
        <v>0</v>
      </c>
      <c r="AJ14" s="10">
        <f t="shared" si="4"/>
        <v>4</v>
      </c>
      <c r="AK14" s="10">
        <f t="shared" si="5"/>
        <v>7</v>
      </c>
      <c r="AL14" s="2">
        <f t="shared" si="6"/>
        <v>11</v>
      </c>
    </row>
    <row r="15" spans="1:38" ht="15" customHeight="1">
      <c r="A15" s="12" t="s">
        <v>48</v>
      </c>
      <c r="B15" s="13" t="s">
        <v>49</v>
      </c>
      <c r="C15" s="12" t="s">
        <v>41</v>
      </c>
      <c r="D15" s="14" t="s">
        <v>16</v>
      </c>
      <c r="E15" s="14" t="s">
        <v>16</v>
      </c>
      <c r="F15" s="14" t="s">
        <v>33</v>
      </c>
      <c r="G15" s="14" t="s">
        <v>17</v>
      </c>
      <c r="H15" s="14" t="s">
        <v>17</v>
      </c>
      <c r="I15" s="14" t="s">
        <v>20</v>
      </c>
      <c r="J15" s="14" t="s">
        <v>19</v>
      </c>
      <c r="K15" s="14" t="s">
        <v>15</v>
      </c>
      <c r="L15" s="14" t="s">
        <v>15</v>
      </c>
      <c r="M15" s="14" t="s">
        <v>16</v>
      </c>
      <c r="N15" s="11" t="s">
        <v>19</v>
      </c>
      <c r="O15" s="14" t="s">
        <v>20</v>
      </c>
      <c r="P15" s="11" t="s">
        <v>15</v>
      </c>
      <c r="Q15" s="11" t="s">
        <v>15</v>
      </c>
      <c r="R15" s="14" t="s">
        <v>15</v>
      </c>
      <c r="S15" s="14" t="s">
        <v>16</v>
      </c>
      <c r="T15" s="14" t="s">
        <v>19</v>
      </c>
      <c r="U15" s="14" t="s">
        <v>20</v>
      </c>
      <c r="V15" s="14" t="s">
        <v>16</v>
      </c>
      <c r="W15" s="14" t="s">
        <v>32</v>
      </c>
      <c r="X15" s="14" t="s">
        <v>16</v>
      </c>
      <c r="Y15" s="14" t="s">
        <v>17</v>
      </c>
      <c r="Z15" s="14" t="s">
        <v>17</v>
      </c>
      <c r="AA15" s="14" t="s">
        <v>19</v>
      </c>
      <c r="AB15" s="14" t="s">
        <v>20</v>
      </c>
      <c r="AC15" s="14" t="s">
        <v>15</v>
      </c>
      <c r="AD15" s="14" t="s">
        <v>15</v>
      </c>
      <c r="AE15" s="14" t="s">
        <v>15</v>
      </c>
      <c r="AF15" s="10">
        <f t="shared" si="0"/>
        <v>8</v>
      </c>
      <c r="AG15" s="10">
        <f t="shared" si="1"/>
        <v>6</v>
      </c>
      <c r="AH15" s="10">
        <f t="shared" si="2"/>
        <v>4</v>
      </c>
      <c r="AI15" s="10">
        <f t="shared" si="3"/>
        <v>0</v>
      </c>
      <c r="AJ15" s="10">
        <f t="shared" si="4"/>
        <v>4</v>
      </c>
      <c r="AK15" s="10">
        <f t="shared" si="5"/>
        <v>6</v>
      </c>
      <c r="AL15" s="2">
        <f t="shared" si="6"/>
        <v>10</v>
      </c>
    </row>
    <row r="16" spans="1:38" ht="15" customHeight="1">
      <c r="A16" s="12" t="s">
        <v>50</v>
      </c>
      <c r="B16" s="13" t="s">
        <v>51</v>
      </c>
      <c r="C16" s="12" t="s">
        <v>41</v>
      </c>
      <c r="D16" s="14" t="s">
        <v>32</v>
      </c>
      <c r="E16" s="14" t="s">
        <v>19</v>
      </c>
      <c r="F16" s="14" t="s">
        <v>16</v>
      </c>
      <c r="G16" s="14" t="s">
        <v>17</v>
      </c>
      <c r="H16" s="14" t="s">
        <v>17</v>
      </c>
      <c r="I16" s="14" t="s">
        <v>33</v>
      </c>
      <c r="J16" s="14" t="s">
        <v>20</v>
      </c>
      <c r="K16" s="14" t="s">
        <v>15</v>
      </c>
      <c r="L16" s="14" t="s">
        <v>16</v>
      </c>
      <c r="M16" s="14" t="s">
        <v>16</v>
      </c>
      <c r="N16" s="14" t="s">
        <v>16</v>
      </c>
      <c r="O16" s="14" t="s">
        <v>19</v>
      </c>
      <c r="P16" s="14" t="s">
        <v>20</v>
      </c>
      <c r="Q16" s="14" t="s">
        <v>16</v>
      </c>
      <c r="R16" s="14" t="s">
        <v>16</v>
      </c>
      <c r="S16" s="14" t="s">
        <v>17</v>
      </c>
      <c r="T16" s="14" t="s">
        <v>17</v>
      </c>
      <c r="U16" s="14" t="s">
        <v>19</v>
      </c>
      <c r="V16" s="14" t="s">
        <v>20</v>
      </c>
      <c r="W16" s="14" t="s">
        <v>16</v>
      </c>
      <c r="X16" s="14" t="s">
        <v>16</v>
      </c>
      <c r="Y16" s="11" t="s">
        <v>32</v>
      </c>
      <c r="Z16" s="11" t="s">
        <v>52</v>
      </c>
      <c r="AA16" s="14" t="s">
        <v>19</v>
      </c>
      <c r="AB16" s="14" t="s">
        <v>20</v>
      </c>
      <c r="AC16" s="14" t="s">
        <v>15</v>
      </c>
      <c r="AD16" s="14" t="s">
        <v>15</v>
      </c>
      <c r="AE16" s="14" t="s">
        <v>15</v>
      </c>
      <c r="AF16" s="10">
        <f t="shared" si="0"/>
        <v>4</v>
      </c>
      <c r="AG16" s="10">
        <f t="shared" si="1"/>
        <v>8</v>
      </c>
      <c r="AH16" s="10">
        <f t="shared" si="2"/>
        <v>4</v>
      </c>
      <c r="AI16" s="10">
        <f t="shared" si="3"/>
        <v>0</v>
      </c>
      <c r="AJ16" s="10">
        <f t="shared" si="4"/>
        <v>4</v>
      </c>
      <c r="AK16" s="10">
        <f t="shared" si="5"/>
        <v>8</v>
      </c>
      <c r="AL16" s="2">
        <f t="shared" si="6"/>
        <v>12</v>
      </c>
    </row>
    <row r="17" spans="1:38" ht="15" customHeight="1">
      <c r="A17" s="12" t="s">
        <v>53</v>
      </c>
      <c r="B17" s="13" t="s">
        <v>54</v>
      </c>
      <c r="C17" s="12" t="s">
        <v>41</v>
      </c>
      <c r="D17" s="14" t="s">
        <v>19</v>
      </c>
      <c r="E17" s="14" t="s">
        <v>20</v>
      </c>
      <c r="F17" s="14" t="s">
        <v>15</v>
      </c>
      <c r="G17" s="14" t="s">
        <v>15</v>
      </c>
      <c r="H17" s="14" t="s">
        <v>15</v>
      </c>
      <c r="I17" s="11" t="s">
        <v>52</v>
      </c>
      <c r="J17" s="14" t="s">
        <v>19</v>
      </c>
      <c r="K17" s="11" t="s">
        <v>32</v>
      </c>
      <c r="L17" s="11" t="s">
        <v>16</v>
      </c>
      <c r="M17" s="14" t="s">
        <v>17</v>
      </c>
      <c r="N17" s="14" t="s">
        <v>17</v>
      </c>
      <c r="O17" s="14" t="s">
        <v>19</v>
      </c>
      <c r="P17" s="14" t="s">
        <v>33</v>
      </c>
      <c r="Q17" s="14" t="s">
        <v>16</v>
      </c>
      <c r="R17" s="14" t="s">
        <v>20</v>
      </c>
      <c r="S17" s="14" t="s">
        <v>15</v>
      </c>
      <c r="T17" s="14" t="s">
        <v>15</v>
      </c>
      <c r="U17" s="14" t="s">
        <v>19</v>
      </c>
      <c r="V17" s="14" t="s">
        <v>20</v>
      </c>
      <c r="W17" s="14" t="s">
        <v>15</v>
      </c>
      <c r="X17" s="14" t="s">
        <v>15</v>
      </c>
      <c r="Y17" s="14" t="s">
        <v>17</v>
      </c>
      <c r="Z17" s="14" t="s">
        <v>17</v>
      </c>
      <c r="AA17" s="14" t="s">
        <v>19</v>
      </c>
      <c r="AB17" s="14" t="s">
        <v>20</v>
      </c>
      <c r="AC17" s="11" t="s">
        <v>16</v>
      </c>
      <c r="AD17" s="14" t="s">
        <v>16</v>
      </c>
      <c r="AE17" s="14" t="s">
        <v>16</v>
      </c>
      <c r="AF17" s="10">
        <f t="shared" si="0"/>
        <v>7</v>
      </c>
      <c r="AG17" s="10">
        <f t="shared" si="1"/>
        <v>5</v>
      </c>
      <c r="AH17" s="10">
        <f t="shared" si="2"/>
        <v>4</v>
      </c>
      <c r="AI17" s="10">
        <f t="shared" si="3"/>
        <v>0</v>
      </c>
      <c r="AJ17" s="10">
        <f t="shared" si="4"/>
        <v>5</v>
      </c>
      <c r="AK17" s="10">
        <f t="shared" si="5"/>
        <v>7</v>
      </c>
      <c r="AL17" s="2">
        <f t="shared" si="6"/>
        <v>12</v>
      </c>
    </row>
    <row r="18" spans="1:38" ht="15" customHeight="1">
      <c r="A18" s="12" t="s">
        <v>55</v>
      </c>
      <c r="B18" s="13" t="s">
        <v>56</v>
      </c>
      <c r="C18" s="12" t="s">
        <v>41</v>
      </c>
      <c r="D18" s="14" t="s">
        <v>16</v>
      </c>
      <c r="E18" s="14" t="s">
        <v>17</v>
      </c>
      <c r="F18" s="14" t="s">
        <v>17</v>
      </c>
      <c r="G18" s="14" t="s">
        <v>19</v>
      </c>
      <c r="H18" s="14" t="s">
        <v>33</v>
      </c>
      <c r="I18" s="14" t="s">
        <v>15</v>
      </c>
      <c r="J18" s="14" t="s">
        <v>15</v>
      </c>
      <c r="K18" s="14" t="s">
        <v>20</v>
      </c>
      <c r="L18" s="14" t="s">
        <v>15</v>
      </c>
      <c r="M18" s="14" t="s">
        <v>15</v>
      </c>
      <c r="N18" s="14" t="s">
        <v>16</v>
      </c>
      <c r="O18" s="14" t="s">
        <v>17</v>
      </c>
      <c r="P18" s="14" t="s">
        <v>17</v>
      </c>
      <c r="Q18" s="14" t="s">
        <v>19</v>
      </c>
      <c r="R18" s="14" t="s">
        <v>20</v>
      </c>
      <c r="S18" s="14" t="s">
        <v>15</v>
      </c>
      <c r="T18" s="14" t="s">
        <v>16</v>
      </c>
      <c r="U18" s="14" t="s">
        <v>16</v>
      </c>
      <c r="V18" s="14" t="s">
        <v>19</v>
      </c>
      <c r="W18" s="11" t="s">
        <v>20</v>
      </c>
      <c r="X18" s="14" t="s">
        <v>32</v>
      </c>
      <c r="Y18" s="14" t="s">
        <v>15</v>
      </c>
      <c r="Z18" s="14" t="s">
        <v>20</v>
      </c>
      <c r="AA18" s="11" t="s">
        <v>19</v>
      </c>
      <c r="AB18" s="14" t="s">
        <v>16</v>
      </c>
      <c r="AC18" s="14" t="s">
        <v>16</v>
      </c>
      <c r="AD18" s="14" t="s">
        <v>16</v>
      </c>
      <c r="AE18" s="14" t="s">
        <v>17</v>
      </c>
      <c r="AF18" s="10">
        <f t="shared" si="0"/>
        <v>6</v>
      </c>
      <c r="AG18" s="10">
        <f t="shared" si="1"/>
        <v>7</v>
      </c>
      <c r="AH18" s="10">
        <f t="shared" si="2"/>
        <v>5</v>
      </c>
      <c r="AI18" s="10">
        <f t="shared" si="3"/>
        <v>0</v>
      </c>
      <c r="AJ18" s="10">
        <f t="shared" si="4"/>
        <v>4</v>
      </c>
      <c r="AK18" s="10">
        <f t="shared" si="5"/>
        <v>6</v>
      </c>
      <c r="AL18" s="2">
        <f t="shared" si="6"/>
        <v>10</v>
      </c>
    </row>
    <row r="19" spans="1:38" ht="15" customHeight="1">
      <c r="A19" s="12" t="s">
        <v>57</v>
      </c>
      <c r="B19" s="13" t="s">
        <v>58</v>
      </c>
      <c r="C19" s="12" t="s">
        <v>41</v>
      </c>
      <c r="D19" s="14" t="s">
        <v>15</v>
      </c>
      <c r="E19" s="14" t="s">
        <v>15</v>
      </c>
      <c r="F19" s="14" t="s">
        <v>19</v>
      </c>
      <c r="G19" s="14" t="s">
        <v>16</v>
      </c>
      <c r="H19" s="14" t="s">
        <v>20</v>
      </c>
      <c r="I19" s="14" t="s">
        <v>17</v>
      </c>
      <c r="J19" s="14" t="s">
        <v>17</v>
      </c>
      <c r="K19" s="14" t="s">
        <v>20</v>
      </c>
      <c r="L19" s="14" t="s">
        <v>19</v>
      </c>
      <c r="M19" s="14" t="s">
        <v>15</v>
      </c>
      <c r="N19" s="14" t="s">
        <v>15</v>
      </c>
      <c r="O19" s="14" t="s">
        <v>16</v>
      </c>
      <c r="P19" s="14" t="s">
        <v>20</v>
      </c>
      <c r="Q19" s="14" t="s">
        <v>32</v>
      </c>
      <c r="R19" s="14" t="s">
        <v>15</v>
      </c>
      <c r="S19" s="14" t="s">
        <v>17</v>
      </c>
      <c r="T19" s="14" t="s">
        <v>17</v>
      </c>
      <c r="U19" s="14" t="s">
        <v>33</v>
      </c>
      <c r="V19" s="14" t="s">
        <v>20</v>
      </c>
      <c r="W19" s="14" t="s">
        <v>16</v>
      </c>
      <c r="X19" s="14" t="s">
        <v>19</v>
      </c>
      <c r="Y19" s="14" t="s">
        <v>16</v>
      </c>
      <c r="Z19" s="14" t="s">
        <v>16</v>
      </c>
      <c r="AA19" s="14" t="s">
        <v>16</v>
      </c>
      <c r="AB19" s="14" t="s">
        <v>16</v>
      </c>
      <c r="AC19" s="14" t="s">
        <v>19</v>
      </c>
      <c r="AD19" s="14" t="s">
        <v>20</v>
      </c>
      <c r="AE19" s="14" t="s">
        <v>17</v>
      </c>
      <c r="AF19" s="10">
        <f t="shared" si="0"/>
        <v>5</v>
      </c>
      <c r="AG19" s="10">
        <f t="shared" si="1"/>
        <v>7</v>
      </c>
      <c r="AH19" s="10">
        <f t="shared" si="2"/>
        <v>5</v>
      </c>
      <c r="AI19" s="10">
        <f t="shared" si="3"/>
        <v>0</v>
      </c>
      <c r="AJ19" s="10">
        <f t="shared" si="4"/>
        <v>4</v>
      </c>
      <c r="AK19" s="10">
        <f t="shared" si="5"/>
        <v>7</v>
      </c>
      <c r="AL19" s="2">
        <f t="shared" si="6"/>
        <v>11</v>
      </c>
    </row>
    <row r="20" spans="1:38" ht="15" customHeight="1">
      <c r="A20" s="8" t="s">
        <v>59</v>
      </c>
      <c r="B20" s="4" t="s">
        <v>60</v>
      </c>
      <c r="C20" s="8" t="s">
        <v>41</v>
      </c>
      <c r="D20" s="9" t="s">
        <v>20</v>
      </c>
      <c r="E20" s="9" t="s">
        <v>16</v>
      </c>
      <c r="F20" s="9" t="s">
        <v>16</v>
      </c>
      <c r="G20" s="9" t="s">
        <v>19</v>
      </c>
      <c r="H20" s="9" t="s">
        <v>16</v>
      </c>
      <c r="I20" s="9" t="s">
        <v>16</v>
      </c>
      <c r="J20" s="9" t="s">
        <v>16</v>
      </c>
      <c r="K20" s="9" t="s">
        <v>20</v>
      </c>
      <c r="L20" s="9" t="s">
        <v>15</v>
      </c>
      <c r="M20" s="9" t="s">
        <v>15</v>
      </c>
      <c r="N20" s="9" t="s">
        <v>15</v>
      </c>
      <c r="O20" s="9" t="s">
        <v>17</v>
      </c>
      <c r="P20" s="9" t="s">
        <v>17</v>
      </c>
      <c r="Q20" s="9" t="s">
        <v>19</v>
      </c>
      <c r="R20" s="9" t="s">
        <v>20</v>
      </c>
      <c r="S20" s="9" t="s">
        <v>16</v>
      </c>
      <c r="T20" s="9" t="s">
        <v>16</v>
      </c>
      <c r="U20" s="9" t="s">
        <v>19</v>
      </c>
      <c r="V20" s="9" t="s">
        <v>20</v>
      </c>
      <c r="W20" s="9" t="s">
        <v>33</v>
      </c>
      <c r="X20" s="9" t="s">
        <v>15</v>
      </c>
      <c r="Y20" s="9" t="s">
        <v>32</v>
      </c>
      <c r="Z20" s="9" t="s">
        <v>15</v>
      </c>
      <c r="AA20" s="9" t="s">
        <v>16</v>
      </c>
      <c r="AB20" s="9" t="s">
        <v>19</v>
      </c>
      <c r="AC20" s="9" t="s">
        <v>17</v>
      </c>
      <c r="AD20" s="9" t="s">
        <v>17</v>
      </c>
      <c r="AE20" s="9" t="s">
        <v>20</v>
      </c>
      <c r="AF20" s="10">
        <f t="shared" si="0"/>
        <v>5</v>
      </c>
      <c r="AG20" s="10">
        <f t="shared" si="1"/>
        <v>8</v>
      </c>
      <c r="AH20" s="10">
        <f t="shared" si="2"/>
        <v>4</v>
      </c>
      <c r="AI20" s="10">
        <f t="shared" si="3"/>
        <v>0</v>
      </c>
      <c r="AJ20" s="10">
        <f t="shared" si="4"/>
        <v>4</v>
      </c>
      <c r="AK20" s="10">
        <f t="shared" si="5"/>
        <v>7</v>
      </c>
      <c r="AL20" s="2">
        <f t="shared" si="6"/>
        <v>11</v>
      </c>
    </row>
    <row r="21" spans="1:38" ht="15" customHeight="1">
      <c r="A21" s="8" t="s">
        <v>61</v>
      </c>
      <c r="B21" s="4" t="s">
        <v>62</v>
      </c>
      <c r="C21" s="8" t="s">
        <v>41</v>
      </c>
      <c r="D21" s="9" t="s">
        <v>17</v>
      </c>
      <c r="E21" s="9" t="s">
        <v>19</v>
      </c>
      <c r="F21" s="9" t="s">
        <v>32</v>
      </c>
      <c r="G21" s="9" t="s">
        <v>15</v>
      </c>
      <c r="H21" s="9" t="s">
        <v>15</v>
      </c>
      <c r="I21" s="9" t="s">
        <v>15</v>
      </c>
      <c r="J21" s="9" t="s">
        <v>20</v>
      </c>
      <c r="K21" s="9" t="s">
        <v>16</v>
      </c>
      <c r="L21" s="9" t="s">
        <v>16</v>
      </c>
      <c r="M21" s="9" t="s">
        <v>16</v>
      </c>
      <c r="N21" s="9" t="s">
        <v>19</v>
      </c>
      <c r="O21" s="9" t="s">
        <v>20</v>
      </c>
      <c r="P21" s="9" t="s">
        <v>15</v>
      </c>
      <c r="Q21" s="9" t="s">
        <v>17</v>
      </c>
      <c r="R21" s="9" t="s">
        <v>17</v>
      </c>
      <c r="S21" s="9" t="s">
        <v>19</v>
      </c>
      <c r="T21" s="9" t="s">
        <v>20</v>
      </c>
      <c r="U21" s="9" t="s">
        <v>15</v>
      </c>
      <c r="V21" s="9" t="s">
        <v>15</v>
      </c>
      <c r="W21" s="9" t="s">
        <v>16</v>
      </c>
      <c r="X21" s="9" t="s">
        <v>32</v>
      </c>
      <c r="Y21" s="9" t="s">
        <v>32</v>
      </c>
      <c r="Z21" s="9" t="s">
        <v>16</v>
      </c>
      <c r="AA21" s="9" t="s">
        <v>17</v>
      </c>
      <c r="AB21" s="9" t="s">
        <v>17</v>
      </c>
      <c r="AC21" s="9" t="s">
        <v>19</v>
      </c>
      <c r="AD21" s="9" t="s">
        <v>20</v>
      </c>
      <c r="AE21" s="9" t="s">
        <v>32</v>
      </c>
      <c r="AF21" s="10">
        <f t="shared" si="0"/>
        <v>6</v>
      </c>
      <c r="AG21" s="10">
        <f t="shared" si="1"/>
        <v>5</v>
      </c>
      <c r="AH21" s="10">
        <f t="shared" si="2"/>
        <v>5</v>
      </c>
      <c r="AI21" s="10">
        <f t="shared" si="3"/>
        <v>0</v>
      </c>
      <c r="AJ21" s="10">
        <f t="shared" si="4"/>
        <v>4</v>
      </c>
      <c r="AK21" s="10">
        <f t="shared" si="5"/>
        <v>8</v>
      </c>
      <c r="AL21" s="2">
        <f t="shared" si="6"/>
        <v>12</v>
      </c>
    </row>
    <row r="22" spans="1:38" ht="15" customHeight="1">
      <c r="A22" s="8" t="s">
        <v>63</v>
      </c>
      <c r="B22" s="4" t="s">
        <v>64</v>
      </c>
      <c r="C22" s="8" t="s">
        <v>41</v>
      </c>
      <c r="D22" s="9" t="s">
        <v>15</v>
      </c>
      <c r="E22" s="9" t="s">
        <v>17</v>
      </c>
      <c r="F22" s="9" t="s">
        <v>17</v>
      </c>
      <c r="G22" s="9" t="s">
        <v>19</v>
      </c>
      <c r="H22" s="9" t="s">
        <v>20</v>
      </c>
      <c r="I22" s="9" t="s">
        <v>15</v>
      </c>
      <c r="J22" s="9" t="s">
        <v>15</v>
      </c>
      <c r="K22" s="9" t="s">
        <v>15</v>
      </c>
      <c r="L22" s="9" t="s">
        <v>15</v>
      </c>
      <c r="M22" s="9" t="s">
        <v>33</v>
      </c>
      <c r="N22" s="9" t="s">
        <v>16</v>
      </c>
      <c r="O22" s="9" t="s">
        <v>16</v>
      </c>
      <c r="P22" s="9" t="s">
        <v>16</v>
      </c>
      <c r="Q22" s="9" t="s">
        <v>20</v>
      </c>
      <c r="R22" s="9" t="s">
        <v>19</v>
      </c>
      <c r="S22" s="9" t="s">
        <v>15</v>
      </c>
      <c r="T22" s="9" t="s">
        <v>19</v>
      </c>
      <c r="U22" s="9" t="s">
        <v>15</v>
      </c>
      <c r="V22" s="9" t="s">
        <v>16</v>
      </c>
      <c r="W22" s="9" t="s">
        <v>17</v>
      </c>
      <c r="X22" s="9" t="s">
        <v>17</v>
      </c>
      <c r="Y22" s="9" t="s">
        <v>20</v>
      </c>
      <c r="Z22" s="9" t="s">
        <v>19</v>
      </c>
      <c r="AA22" s="9" t="s">
        <v>15</v>
      </c>
      <c r="AB22" s="9" t="s">
        <v>15</v>
      </c>
      <c r="AC22" s="9" t="s">
        <v>15</v>
      </c>
      <c r="AD22" s="9" t="s">
        <v>20</v>
      </c>
      <c r="AE22" s="9" t="s">
        <v>32</v>
      </c>
      <c r="AF22" s="10">
        <f t="shared" si="0"/>
        <v>10</v>
      </c>
      <c r="AG22" s="10">
        <f t="shared" si="1"/>
        <v>4</v>
      </c>
      <c r="AH22" s="10">
        <f t="shared" si="2"/>
        <v>4</v>
      </c>
      <c r="AI22" s="10">
        <f t="shared" si="3"/>
        <v>0</v>
      </c>
      <c r="AJ22" s="10">
        <f t="shared" si="4"/>
        <v>4</v>
      </c>
      <c r="AK22" s="10">
        <f t="shared" si="5"/>
        <v>6</v>
      </c>
      <c r="AL22" s="2">
        <f t="shared" si="6"/>
        <v>10</v>
      </c>
    </row>
    <row r="23" spans="1:38" ht="15" customHeight="1">
      <c r="A23" s="8" t="s">
        <v>65</v>
      </c>
      <c r="B23" s="4" t="s">
        <v>66</v>
      </c>
      <c r="C23" s="8" t="s">
        <v>41</v>
      </c>
      <c r="D23" s="11" t="s">
        <v>32</v>
      </c>
      <c r="E23" s="11" t="s">
        <v>20</v>
      </c>
      <c r="F23" s="9" t="s">
        <v>15</v>
      </c>
      <c r="G23" s="9" t="s">
        <v>16</v>
      </c>
      <c r="H23" s="9" t="s">
        <v>16</v>
      </c>
      <c r="I23" s="9" t="s">
        <v>16</v>
      </c>
      <c r="J23" s="9" t="s">
        <v>19</v>
      </c>
      <c r="K23" s="9" t="s">
        <v>17</v>
      </c>
      <c r="L23" s="9" t="s">
        <v>17</v>
      </c>
      <c r="M23" s="9" t="s">
        <v>19</v>
      </c>
      <c r="N23" s="9" t="s">
        <v>33</v>
      </c>
      <c r="O23" s="9" t="s">
        <v>15</v>
      </c>
      <c r="P23" s="9" t="s">
        <v>15</v>
      </c>
      <c r="Q23" s="9" t="s">
        <v>15</v>
      </c>
      <c r="R23" s="9" t="s">
        <v>20</v>
      </c>
      <c r="S23" s="9" t="s">
        <v>20</v>
      </c>
      <c r="T23" s="9" t="s">
        <v>15</v>
      </c>
      <c r="U23" s="11" t="s">
        <v>17</v>
      </c>
      <c r="V23" s="9" t="s">
        <v>17</v>
      </c>
      <c r="W23" s="9" t="s">
        <v>19</v>
      </c>
      <c r="X23" s="9" t="s">
        <v>32</v>
      </c>
      <c r="Y23" s="9" t="s">
        <v>15</v>
      </c>
      <c r="Z23" s="9" t="s">
        <v>15</v>
      </c>
      <c r="AA23" s="9" t="s">
        <v>19</v>
      </c>
      <c r="AB23" s="9" t="s">
        <v>15</v>
      </c>
      <c r="AC23" s="9" t="s">
        <v>15</v>
      </c>
      <c r="AD23" s="9" t="s">
        <v>15</v>
      </c>
      <c r="AE23" s="9" t="s">
        <v>20</v>
      </c>
      <c r="AF23" s="10">
        <f t="shared" si="0"/>
        <v>10</v>
      </c>
      <c r="AG23" s="10">
        <f t="shared" si="1"/>
        <v>3</v>
      </c>
      <c r="AH23" s="10">
        <f t="shared" si="2"/>
        <v>4</v>
      </c>
      <c r="AI23" s="10">
        <f t="shared" si="3"/>
        <v>0</v>
      </c>
      <c r="AJ23" s="10">
        <f t="shared" si="4"/>
        <v>4</v>
      </c>
      <c r="AK23" s="10">
        <f t="shared" si="5"/>
        <v>7</v>
      </c>
      <c r="AL23" s="2">
        <f t="shared" si="6"/>
        <v>11</v>
      </c>
    </row>
    <row r="24" spans="1:38" ht="15" hidden="1" customHeight="1">
      <c r="A24" s="8" t="s">
        <v>67</v>
      </c>
      <c r="B24" s="4" t="s">
        <v>68</v>
      </c>
      <c r="C24" s="8" t="s">
        <v>41</v>
      </c>
      <c r="D24" s="9" t="s">
        <v>69</v>
      </c>
      <c r="E24" s="9" t="s">
        <v>69</v>
      </c>
      <c r="F24" s="9" t="s">
        <v>69</v>
      </c>
      <c r="G24" s="9" t="s">
        <v>69</v>
      </c>
      <c r="H24" s="9" t="s">
        <v>69</v>
      </c>
      <c r="I24" s="9" t="s">
        <v>69</v>
      </c>
      <c r="J24" s="9" t="s">
        <v>69</v>
      </c>
      <c r="K24" s="9" t="s">
        <v>69</v>
      </c>
      <c r="L24" s="9" t="s">
        <v>69</v>
      </c>
      <c r="M24" s="9" t="s">
        <v>69</v>
      </c>
      <c r="N24" s="9" t="s">
        <v>69</v>
      </c>
      <c r="O24" s="9" t="s">
        <v>69</v>
      </c>
      <c r="P24" s="9" t="s">
        <v>69</v>
      </c>
      <c r="Q24" s="9" t="s">
        <v>69</v>
      </c>
      <c r="R24" s="9" t="s">
        <v>69</v>
      </c>
      <c r="S24" s="9" t="s">
        <v>69</v>
      </c>
      <c r="T24" s="9" t="s">
        <v>69</v>
      </c>
      <c r="U24" s="9" t="s">
        <v>69</v>
      </c>
      <c r="V24" s="9" t="s">
        <v>69</v>
      </c>
      <c r="W24" s="9" t="s">
        <v>69</v>
      </c>
      <c r="X24" s="9" t="s">
        <v>69</v>
      </c>
      <c r="Y24" s="9" t="s">
        <v>69</v>
      </c>
      <c r="Z24" s="9" t="s">
        <v>69</v>
      </c>
      <c r="AA24" s="9" t="s">
        <v>69</v>
      </c>
      <c r="AB24" s="9" t="s">
        <v>69</v>
      </c>
      <c r="AC24" s="9" t="s">
        <v>69</v>
      </c>
      <c r="AD24" s="9" t="s">
        <v>69</v>
      </c>
      <c r="AE24" s="9" t="s">
        <v>69</v>
      </c>
      <c r="AF24" s="10">
        <f t="shared" si="0"/>
        <v>0</v>
      </c>
      <c r="AG24" s="10">
        <f t="shared" si="1"/>
        <v>0</v>
      </c>
      <c r="AH24" s="10">
        <f t="shared" si="2"/>
        <v>0</v>
      </c>
      <c r="AI24" s="10">
        <f t="shared" si="3"/>
        <v>0</v>
      </c>
      <c r="AJ24" s="10">
        <f t="shared" si="4"/>
        <v>0</v>
      </c>
      <c r="AK24" s="10">
        <f t="shared" si="5"/>
        <v>28</v>
      </c>
      <c r="AL24" s="2">
        <f t="shared" si="6"/>
        <v>28</v>
      </c>
    </row>
    <row r="25" spans="1:38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5" t="s">
        <v>70</v>
      </c>
      <c r="AF25" s="16">
        <f t="shared" ref="AF25:AK25" si="7">SUM(AF9:AF24)</f>
        <v>118</v>
      </c>
      <c r="AG25" s="16">
        <f t="shared" si="7"/>
        <v>73</v>
      </c>
      <c r="AH25" s="16">
        <f t="shared" si="7"/>
        <v>56</v>
      </c>
      <c r="AI25" s="16">
        <f t="shared" si="7"/>
        <v>0</v>
      </c>
      <c r="AJ25" s="16">
        <f t="shared" si="7"/>
        <v>61</v>
      </c>
      <c r="AK25" s="16">
        <f t="shared" si="7"/>
        <v>140</v>
      </c>
    </row>
    <row r="26" spans="1:38" ht="15" customHeight="1">
      <c r="A26" s="96" t="s">
        <v>11</v>
      </c>
      <c r="B26" s="96"/>
      <c r="C26" s="96"/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4" t="s">
        <v>71</v>
      </c>
    </row>
    <row r="27" spans="1:38" ht="15" customHeight="1">
      <c r="A27" s="93" t="s">
        <v>15</v>
      </c>
      <c r="B27" s="93"/>
      <c r="C27" s="93"/>
      <c r="D27" s="1">
        <f>COUNTIF(D9:D23,"D")</f>
        <v>3</v>
      </c>
      <c r="E27" s="1">
        <f t="shared" ref="E27:AE27" si="8">COUNTIF(E9:E23,"D")</f>
        <v>5</v>
      </c>
      <c r="F27" s="1">
        <f t="shared" si="8"/>
        <v>5</v>
      </c>
      <c r="G27" s="1">
        <f t="shared" si="8"/>
        <v>5</v>
      </c>
      <c r="H27" s="1">
        <f t="shared" si="8"/>
        <v>5</v>
      </c>
      <c r="I27" s="1">
        <f t="shared" si="8"/>
        <v>5</v>
      </c>
      <c r="J27" s="1">
        <f t="shared" si="8"/>
        <v>3</v>
      </c>
      <c r="K27" s="1">
        <f t="shared" si="8"/>
        <v>3</v>
      </c>
      <c r="L27" s="1">
        <f t="shared" si="8"/>
        <v>5</v>
      </c>
      <c r="M27" s="1">
        <f t="shared" si="8"/>
        <v>5</v>
      </c>
      <c r="N27" s="1">
        <f t="shared" si="8"/>
        <v>5</v>
      </c>
      <c r="O27" s="1">
        <f t="shared" si="8"/>
        <v>5</v>
      </c>
      <c r="P27" s="1">
        <f t="shared" si="8"/>
        <v>5</v>
      </c>
      <c r="Q27" s="1">
        <f t="shared" si="8"/>
        <v>3</v>
      </c>
      <c r="R27" s="1">
        <f t="shared" si="8"/>
        <v>3</v>
      </c>
      <c r="S27" s="1">
        <f t="shared" si="8"/>
        <v>3</v>
      </c>
      <c r="T27" s="1">
        <f t="shared" si="8"/>
        <v>3</v>
      </c>
      <c r="U27" s="1">
        <f t="shared" si="8"/>
        <v>3</v>
      </c>
      <c r="V27" s="1">
        <f t="shared" si="8"/>
        <v>5</v>
      </c>
      <c r="W27" s="1">
        <f t="shared" si="8"/>
        <v>5</v>
      </c>
      <c r="X27" s="1">
        <f t="shared" si="8"/>
        <v>3</v>
      </c>
      <c r="Y27" s="1">
        <f t="shared" si="8"/>
        <v>3</v>
      </c>
      <c r="Z27" s="1">
        <f t="shared" si="8"/>
        <v>5</v>
      </c>
      <c r="AA27" s="1">
        <f t="shared" si="8"/>
        <v>5</v>
      </c>
      <c r="AB27" s="1">
        <f t="shared" si="8"/>
        <v>5</v>
      </c>
      <c r="AC27" s="1">
        <f t="shared" si="8"/>
        <v>5</v>
      </c>
      <c r="AD27" s="1">
        <f t="shared" si="8"/>
        <v>5</v>
      </c>
      <c r="AE27" s="1">
        <f t="shared" si="8"/>
        <v>3</v>
      </c>
      <c r="AF27" s="1"/>
      <c r="AG27" s="1"/>
      <c r="AH27" s="1"/>
      <c r="AI27" s="8"/>
    </row>
    <row r="28" spans="1:38" ht="15" customHeight="1">
      <c r="A28" s="93" t="s">
        <v>16</v>
      </c>
      <c r="B28" s="93"/>
      <c r="C28" s="93"/>
      <c r="D28" s="1">
        <f>COUNTIF(D9:D23,"E")</f>
        <v>2</v>
      </c>
      <c r="E28" s="1">
        <f t="shared" ref="E28:AE28" si="9">COUNTIF(E9:E23,"E")</f>
        <v>3</v>
      </c>
      <c r="F28" s="1">
        <f t="shared" si="9"/>
        <v>3</v>
      </c>
      <c r="G28" s="1">
        <f t="shared" si="9"/>
        <v>3</v>
      </c>
      <c r="H28" s="1">
        <f t="shared" si="9"/>
        <v>3</v>
      </c>
      <c r="I28" s="1">
        <f t="shared" si="9"/>
        <v>3</v>
      </c>
      <c r="J28" s="1">
        <f t="shared" si="9"/>
        <v>2</v>
      </c>
      <c r="K28" s="1">
        <f t="shared" si="9"/>
        <v>2</v>
      </c>
      <c r="L28" s="1">
        <f t="shared" si="9"/>
        <v>3</v>
      </c>
      <c r="M28" s="1">
        <f t="shared" si="9"/>
        <v>3</v>
      </c>
      <c r="N28" s="1">
        <f t="shared" si="9"/>
        <v>3</v>
      </c>
      <c r="O28" s="1">
        <f t="shared" si="9"/>
        <v>3</v>
      </c>
      <c r="P28" s="1">
        <f t="shared" si="9"/>
        <v>3</v>
      </c>
      <c r="Q28" s="1">
        <f t="shared" si="9"/>
        <v>2</v>
      </c>
      <c r="R28" s="1">
        <f t="shared" si="9"/>
        <v>2</v>
      </c>
      <c r="S28" s="1">
        <f t="shared" si="9"/>
        <v>2</v>
      </c>
      <c r="T28" s="1">
        <f t="shared" si="9"/>
        <v>2</v>
      </c>
      <c r="U28" s="1">
        <f t="shared" si="9"/>
        <v>2</v>
      </c>
      <c r="V28" s="1">
        <f t="shared" si="9"/>
        <v>3</v>
      </c>
      <c r="W28" s="1">
        <f t="shared" si="9"/>
        <v>3</v>
      </c>
      <c r="X28" s="1">
        <f t="shared" si="9"/>
        <v>2</v>
      </c>
      <c r="Y28" s="1">
        <f t="shared" si="9"/>
        <v>2</v>
      </c>
      <c r="Z28" s="1">
        <f t="shared" si="9"/>
        <v>3</v>
      </c>
      <c r="AA28" s="1">
        <f t="shared" si="9"/>
        <v>3</v>
      </c>
      <c r="AB28" s="1">
        <f t="shared" si="9"/>
        <v>3</v>
      </c>
      <c r="AC28" s="1">
        <f t="shared" si="9"/>
        <v>3</v>
      </c>
      <c r="AD28" s="1">
        <f t="shared" si="9"/>
        <v>3</v>
      </c>
      <c r="AE28" s="1">
        <f t="shared" si="9"/>
        <v>2</v>
      </c>
      <c r="AF28" s="1"/>
      <c r="AG28" s="1"/>
      <c r="AH28" s="1"/>
      <c r="AI28" s="8"/>
    </row>
    <row r="29" spans="1:38" ht="15" customHeight="1">
      <c r="A29" s="93" t="s">
        <v>17</v>
      </c>
      <c r="B29" s="93"/>
      <c r="C29" s="93"/>
      <c r="D29" s="1">
        <f>COUNTIF(D9:D23,"N")</f>
        <v>2</v>
      </c>
      <c r="E29" s="1">
        <f t="shared" ref="E29:AE29" si="10">COUNTIF(E9:E23,"N")</f>
        <v>2</v>
      </c>
      <c r="F29" s="1">
        <f t="shared" si="10"/>
        <v>2</v>
      </c>
      <c r="G29" s="1">
        <f t="shared" si="10"/>
        <v>2</v>
      </c>
      <c r="H29" s="1">
        <f t="shared" si="10"/>
        <v>2</v>
      </c>
      <c r="I29" s="1">
        <f t="shared" si="10"/>
        <v>2</v>
      </c>
      <c r="J29" s="1">
        <f t="shared" si="10"/>
        <v>2</v>
      </c>
      <c r="K29" s="1">
        <f t="shared" si="10"/>
        <v>2</v>
      </c>
      <c r="L29" s="1">
        <f t="shared" si="10"/>
        <v>2</v>
      </c>
      <c r="M29" s="1">
        <f t="shared" si="10"/>
        <v>2</v>
      </c>
      <c r="N29" s="1">
        <f t="shared" si="10"/>
        <v>2</v>
      </c>
      <c r="O29" s="1">
        <f t="shared" si="10"/>
        <v>2</v>
      </c>
      <c r="P29" s="1">
        <f t="shared" si="10"/>
        <v>2</v>
      </c>
      <c r="Q29" s="1">
        <f t="shared" si="10"/>
        <v>2</v>
      </c>
      <c r="R29" s="1">
        <f t="shared" si="10"/>
        <v>2</v>
      </c>
      <c r="S29" s="1">
        <f t="shared" si="10"/>
        <v>2</v>
      </c>
      <c r="T29" s="1">
        <f t="shared" si="10"/>
        <v>2</v>
      </c>
      <c r="U29" s="1">
        <f t="shared" si="10"/>
        <v>2</v>
      </c>
      <c r="V29" s="1">
        <f t="shared" si="10"/>
        <v>2</v>
      </c>
      <c r="W29" s="1">
        <f t="shared" si="10"/>
        <v>2</v>
      </c>
      <c r="X29" s="1">
        <f t="shared" si="10"/>
        <v>2</v>
      </c>
      <c r="Y29" s="1">
        <f t="shared" si="10"/>
        <v>2</v>
      </c>
      <c r="Z29" s="1">
        <f t="shared" si="10"/>
        <v>2</v>
      </c>
      <c r="AA29" s="1">
        <f t="shared" si="10"/>
        <v>2</v>
      </c>
      <c r="AB29" s="1">
        <f t="shared" si="10"/>
        <v>2</v>
      </c>
      <c r="AC29" s="1">
        <f t="shared" si="10"/>
        <v>2</v>
      </c>
      <c r="AD29" s="1">
        <f t="shared" si="10"/>
        <v>2</v>
      </c>
      <c r="AE29" s="1">
        <f t="shared" si="10"/>
        <v>2</v>
      </c>
      <c r="AF29" s="1"/>
      <c r="AG29" s="1"/>
      <c r="AH29" s="1"/>
      <c r="AI29" s="8"/>
    </row>
    <row r="30" spans="1:38" ht="15" customHeight="1">
      <c r="A30" s="93" t="s">
        <v>18</v>
      </c>
      <c r="B30" s="93"/>
      <c r="C30" s="93"/>
      <c r="D30" s="1">
        <f>COUNTIF(D9:D23,"T")</f>
        <v>0</v>
      </c>
      <c r="E30" s="1">
        <f t="shared" ref="E30:AE30" si="11">COUNTIF(E9:E23,"T")</f>
        <v>0</v>
      </c>
      <c r="F30" s="1">
        <f t="shared" si="11"/>
        <v>0</v>
      </c>
      <c r="G30" s="1">
        <f t="shared" si="11"/>
        <v>0</v>
      </c>
      <c r="H30" s="1">
        <f t="shared" si="11"/>
        <v>0</v>
      </c>
      <c r="I30" s="1">
        <f t="shared" si="11"/>
        <v>0</v>
      </c>
      <c r="J30" s="1">
        <f t="shared" si="11"/>
        <v>0</v>
      </c>
      <c r="K30" s="1">
        <f t="shared" si="11"/>
        <v>0</v>
      </c>
      <c r="L30" s="1">
        <f t="shared" si="11"/>
        <v>0</v>
      </c>
      <c r="M30" s="1">
        <f t="shared" si="11"/>
        <v>0</v>
      </c>
      <c r="N30" s="1">
        <f t="shared" si="11"/>
        <v>0</v>
      </c>
      <c r="O30" s="1">
        <f t="shared" si="11"/>
        <v>0</v>
      </c>
      <c r="P30" s="1">
        <f t="shared" si="11"/>
        <v>0</v>
      </c>
      <c r="Q30" s="1">
        <f t="shared" si="11"/>
        <v>0</v>
      </c>
      <c r="R30" s="1">
        <f t="shared" si="11"/>
        <v>0</v>
      </c>
      <c r="S30" s="1">
        <f t="shared" si="11"/>
        <v>0</v>
      </c>
      <c r="T30" s="1">
        <f t="shared" si="11"/>
        <v>0</v>
      </c>
      <c r="U30" s="1">
        <f t="shared" si="11"/>
        <v>0</v>
      </c>
      <c r="V30" s="1">
        <f t="shared" si="11"/>
        <v>0</v>
      </c>
      <c r="W30" s="1">
        <f t="shared" si="11"/>
        <v>0</v>
      </c>
      <c r="X30" s="1">
        <f t="shared" si="11"/>
        <v>0</v>
      </c>
      <c r="Y30" s="1">
        <f t="shared" si="11"/>
        <v>0</v>
      </c>
      <c r="Z30" s="1">
        <f t="shared" si="11"/>
        <v>0</v>
      </c>
      <c r="AA30" s="1">
        <f t="shared" si="11"/>
        <v>0</v>
      </c>
      <c r="AB30" s="1">
        <f t="shared" si="11"/>
        <v>0</v>
      </c>
      <c r="AC30" s="1">
        <f t="shared" si="11"/>
        <v>0</v>
      </c>
      <c r="AD30" s="1">
        <f t="shared" si="11"/>
        <v>0</v>
      </c>
      <c r="AE30" s="1">
        <f t="shared" si="11"/>
        <v>0</v>
      </c>
      <c r="AF30" s="1"/>
      <c r="AG30" s="1"/>
      <c r="AH30" s="1"/>
      <c r="AI30" s="8"/>
    </row>
    <row r="31" spans="1:38" ht="15" customHeight="1">
      <c r="A31" s="93" t="s">
        <v>19</v>
      </c>
      <c r="B31" s="93"/>
      <c r="C31" s="93"/>
      <c r="D31" s="1">
        <f>COUNTIF(D9:D22,"X")</f>
        <v>2</v>
      </c>
      <c r="E31" s="1">
        <f t="shared" ref="E31:AE31" si="12">COUNTIF(E9:E22,"X")</f>
        <v>3</v>
      </c>
      <c r="F31" s="1">
        <f t="shared" si="12"/>
        <v>1</v>
      </c>
      <c r="G31" s="1">
        <f t="shared" si="12"/>
        <v>4</v>
      </c>
      <c r="H31" s="1">
        <f t="shared" si="12"/>
        <v>0</v>
      </c>
      <c r="I31" s="1">
        <f t="shared" si="12"/>
        <v>0</v>
      </c>
      <c r="J31" s="1">
        <f t="shared" si="12"/>
        <v>5</v>
      </c>
      <c r="K31" s="1">
        <f t="shared" si="12"/>
        <v>0</v>
      </c>
      <c r="L31" s="1">
        <f t="shared" si="12"/>
        <v>3</v>
      </c>
      <c r="M31" s="1">
        <f t="shared" si="12"/>
        <v>0</v>
      </c>
      <c r="N31" s="1">
        <f t="shared" si="12"/>
        <v>2</v>
      </c>
      <c r="O31" s="1">
        <f t="shared" si="12"/>
        <v>2</v>
      </c>
      <c r="P31" s="1">
        <f t="shared" si="12"/>
        <v>0</v>
      </c>
      <c r="Q31" s="1">
        <f t="shared" si="12"/>
        <v>6</v>
      </c>
      <c r="R31" s="1">
        <f t="shared" si="12"/>
        <v>1</v>
      </c>
      <c r="S31" s="1">
        <f t="shared" si="12"/>
        <v>4</v>
      </c>
      <c r="T31" s="1">
        <f t="shared" si="12"/>
        <v>2</v>
      </c>
      <c r="U31" s="1">
        <f t="shared" si="12"/>
        <v>3</v>
      </c>
      <c r="V31" s="1">
        <f t="shared" si="12"/>
        <v>1</v>
      </c>
      <c r="W31" s="1">
        <f t="shared" si="12"/>
        <v>1</v>
      </c>
      <c r="X31" s="1">
        <f t="shared" si="12"/>
        <v>3</v>
      </c>
      <c r="Y31" s="1">
        <f t="shared" si="12"/>
        <v>0</v>
      </c>
      <c r="Z31" s="1">
        <f t="shared" si="12"/>
        <v>2</v>
      </c>
      <c r="AA31" s="1">
        <f t="shared" si="12"/>
        <v>4</v>
      </c>
      <c r="AB31" s="1">
        <f t="shared" si="12"/>
        <v>1</v>
      </c>
      <c r="AC31" s="1">
        <f t="shared" si="12"/>
        <v>4</v>
      </c>
      <c r="AD31" s="1">
        <f t="shared" si="12"/>
        <v>0</v>
      </c>
      <c r="AE31" s="1">
        <f t="shared" si="12"/>
        <v>3</v>
      </c>
      <c r="AF31" s="1"/>
      <c r="AG31" s="1"/>
      <c r="AH31" s="1"/>
      <c r="AI31" s="8"/>
    </row>
    <row r="32" spans="1:38" ht="15" customHeight="1">
      <c r="A32" s="91" t="s">
        <v>75</v>
      </c>
      <c r="B32" s="91"/>
      <c r="C32" s="92"/>
      <c r="D32" s="1">
        <f>SUM(D30:D31)</f>
        <v>2</v>
      </c>
      <c r="E32" s="1">
        <f t="shared" ref="E32:AD32" si="13">SUM(E30:E31)</f>
        <v>3</v>
      </c>
      <c r="F32" s="1">
        <f t="shared" si="13"/>
        <v>1</v>
      </c>
      <c r="G32" s="1">
        <f t="shared" si="13"/>
        <v>4</v>
      </c>
      <c r="H32" s="1">
        <f t="shared" si="13"/>
        <v>0</v>
      </c>
      <c r="I32" s="1">
        <f t="shared" si="13"/>
        <v>0</v>
      </c>
      <c r="J32" s="1">
        <f t="shared" si="13"/>
        <v>5</v>
      </c>
      <c r="K32" s="1">
        <f t="shared" si="13"/>
        <v>0</v>
      </c>
      <c r="L32" s="1">
        <f t="shared" si="13"/>
        <v>3</v>
      </c>
      <c r="M32" s="1">
        <f t="shared" si="13"/>
        <v>0</v>
      </c>
      <c r="N32" s="1">
        <f t="shared" si="13"/>
        <v>2</v>
      </c>
      <c r="O32" s="1">
        <f t="shared" si="13"/>
        <v>2</v>
      </c>
      <c r="P32" s="1">
        <f t="shared" si="13"/>
        <v>0</v>
      </c>
      <c r="Q32" s="1">
        <f t="shared" si="13"/>
        <v>6</v>
      </c>
      <c r="R32" s="1">
        <f t="shared" si="13"/>
        <v>1</v>
      </c>
      <c r="S32" s="1">
        <f t="shared" si="13"/>
        <v>4</v>
      </c>
      <c r="T32" s="1">
        <f t="shared" si="13"/>
        <v>2</v>
      </c>
      <c r="U32" s="1">
        <f t="shared" si="13"/>
        <v>3</v>
      </c>
      <c r="V32" s="1">
        <f t="shared" si="13"/>
        <v>1</v>
      </c>
      <c r="W32" s="1">
        <f t="shared" si="13"/>
        <v>1</v>
      </c>
      <c r="X32" s="1">
        <f t="shared" si="13"/>
        <v>3</v>
      </c>
      <c r="Y32" s="1">
        <f t="shared" si="13"/>
        <v>0</v>
      </c>
      <c r="Z32" s="1">
        <f t="shared" si="13"/>
        <v>2</v>
      </c>
      <c r="AA32" s="1">
        <f t="shared" si="13"/>
        <v>4</v>
      </c>
      <c r="AB32" s="1">
        <f t="shared" si="13"/>
        <v>1</v>
      </c>
      <c r="AC32" s="1">
        <f t="shared" si="13"/>
        <v>4</v>
      </c>
      <c r="AD32" s="1">
        <f t="shared" si="13"/>
        <v>0</v>
      </c>
      <c r="AE32" s="1">
        <f>SUM(AE30:AE31)</f>
        <v>3</v>
      </c>
      <c r="AF32" s="1"/>
      <c r="AG32" s="1"/>
      <c r="AH32" s="1"/>
      <c r="AI32" s="1"/>
    </row>
  </sheetData>
  <mergeCells count="11">
    <mergeCell ref="A1:AE1"/>
    <mergeCell ref="A6:C6"/>
    <mergeCell ref="D6:AE6"/>
    <mergeCell ref="A26:C26"/>
    <mergeCell ref="AF6:AL6"/>
    <mergeCell ref="A32:C32"/>
    <mergeCell ref="A27:C27"/>
    <mergeCell ref="A28:C28"/>
    <mergeCell ref="A29:C29"/>
    <mergeCell ref="A30:C30"/>
    <mergeCell ref="A31:C31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2"/>
  <sheetViews>
    <sheetView topLeftCell="A7" zoomScale="170" zoomScaleNormal="170" workbookViewId="0">
      <selection activeCell="H16" sqref="H16"/>
    </sheetView>
  </sheetViews>
  <sheetFormatPr defaultColWidth="8.5" defaultRowHeight="17.399999999999999"/>
  <cols>
    <col min="1" max="1" width="11" customWidth="1"/>
    <col min="2" max="2" width="7" customWidth="1"/>
    <col min="3" max="3" width="4" customWidth="1"/>
    <col min="4" max="30" width="3.5" customWidth="1"/>
    <col min="31" max="31" width="5.19921875" bestFit="1" customWidth="1"/>
    <col min="32" max="34" width="7.5" bestFit="1" customWidth="1"/>
    <col min="35" max="35" width="5.19921875" bestFit="1" customWidth="1"/>
    <col min="36" max="36" width="3.5" customWidth="1"/>
    <col min="37" max="37" width="5.09765625" bestFit="1" customWidth="1"/>
  </cols>
  <sheetData>
    <row r="1" spans="1:38" ht="30">
      <c r="A1" s="103" t="s">
        <v>81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" t="s">
        <v>1</v>
      </c>
      <c r="AG1" s="1" t="s">
        <v>2</v>
      </c>
      <c r="AH1" s="1" t="s">
        <v>3</v>
      </c>
    </row>
    <row r="2" spans="1:38" ht="15" customHeight="1">
      <c r="AF2" s="2"/>
      <c r="AG2" s="2"/>
      <c r="AH2" s="2"/>
    </row>
    <row r="3" spans="1:38" ht="15" customHeight="1">
      <c r="A3" s="3" t="s">
        <v>4</v>
      </c>
      <c r="D3" s="3" t="s">
        <v>5</v>
      </c>
      <c r="AF3" s="2"/>
      <c r="AG3" s="2"/>
      <c r="AH3" s="2"/>
    </row>
    <row r="4" spans="1:38" ht="15" customHeight="1">
      <c r="A4" s="3" t="s">
        <v>6</v>
      </c>
      <c r="B4" t="s">
        <v>7</v>
      </c>
      <c r="D4" s="3" t="s">
        <v>8</v>
      </c>
    </row>
    <row r="5" spans="1:38" ht="15" customHeight="1"/>
    <row r="6" spans="1:38" ht="15" customHeight="1">
      <c r="A6" s="95" t="s">
        <v>9</v>
      </c>
      <c r="B6" s="95"/>
      <c r="C6" s="95"/>
      <c r="D6" s="95" t="s">
        <v>10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7" t="s">
        <v>11</v>
      </c>
      <c r="AG6" s="98"/>
      <c r="AH6" s="98"/>
      <c r="AI6" s="98"/>
      <c r="AJ6" s="98"/>
      <c r="AK6" s="98"/>
      <c r="AL6" s="99"/>
    </row>
    <row r="7" spans="1:38" ht="15" customHeight="1">
      <c r="A7" s="101" t="s">
        <v>12</v>
      </c>
      <c r="B7" s="101" t="s">
        <v>13</v>
      </c>
      <c r="C7" s="101" t="s">
        <v>14</v>
      </c>
      <c r="D7" s="30">
        <v>1</v>
      </c>
      <c r="E7" s="1">
        <v>2</v>
      </c>
      <c r="F7" s="1">
        <v>3</v>
      </c>
      <c r="G7" s="1">
        <v>4</v>
      </c>
      <c r="H7" s="1">
        <v>5</v>
      </c>
      <c r="I7" s="1">
        <v>6</v>
      </c>
      <c r="J7" s="30">
        <v>7</v>
      </c>
      <c r="K7" s="30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30">
        <v>14</v>
      </c>
      <c r="R7" s="30">
        <v>15</v>
      </c>
      <c r="S7" s="36">
        <v>16</v>
      </c>
      <c r="T7" s="36">
        <v>17</v>
      </c>
      <c r="U7" s="36">
        <v>18</v>
      </c>
      <c r="V7" s="1">
        <v>19</v>
      </c>
      <c r="W7" s="1">
        <v>20</v>
      </c>
      <c r="X7" s="30">
        <v>21</v>
      </c>
      <c r="Y7" s="30">
        <v>22</v>
      </c>
      <c r="Z7" s="1">
        <v>23</v>
      </c>
      <c r="AA7" s="1">
        <v>24</v>
      </c>
      <c r="AB7" s="1">
        <v>25</v>
      </c>
      <c r="AC7" s="1">
        <v>26</v>
      </c>
      <c r="AD7" s="1">
        <v>27</v>
      </c>
      <c r="AE7" s="30">
        <v>28</v>
      </c>
      <c r="AF7" s="104" t="s">
        <v>15</v>
      </c>
      <c r="AG7" s="104" t="s">
        <v>16</v>
      </c>
      <c r="AH7" s="104" t="s">
        <v>17</v>
      </c>
      <c r="AI7" s="104" t="s">
        <v>18</v>
      </c>
      <c r="AJ7" s="104" t="s">
        <v>19</v>
      </c>
      <c r="AK7" s="104" t="s">
        <v>20</v>
      </c>
      <c r="AL7" s="106" t="s">
        <v>74</v>
      </c>
    </row>
    <row r="8" spans="1:38" ht="15" customHeight="1">
      <c r="A8" s="102"/>
      <c r="B8" s="102"/>
      <c r="C8" s="102"/>
      <c r="D8" s="32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31" t="s">
        <v>27</v>
      </c>
      <c r="K8" s="32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31" t="s">
        <v>27</v>
      </c>
      <c r="R8" s="32" t="s">
        <v>21</v>
      </c>
      <c r="S8" s="36" t="s">
        <v>22</v>
      </c>
      <c r="T8" s="36" t="s">
        <v>23</v>
      </c>
      <c r="U8" s="36" t="s">
        <v>24</v>
      </c>
      <c r="V8" s="1" t="s">
        <v>25</v>
      </c>
      <c r="W8" s="1" t="s">
        <v>26</v>
      </c>
      <c r="X8" s="31" t="s">
        <v>27</v>
      </c>
      <c r="Y8" s="32" t="s">
        <v>21</v>
      </c>
      <c r="Z8" s="1" t="s">
        <v>22</v>
      </c>
      <c r="AA8" s="1" t="s">
        <v>23</v>
      </c>
      <c r="AB8" s="1" t="s">
        <v>24</v>
      </c>
      <c r="AC8" s="1" t="s">
        <v>25</v>
      </c>
      <c r="AD8" s="1" t="s">
        <v>26</v>
      </c>
      <c r="AE8" s="31" t="s">
        <v>27</v>
      </c>
      <c r="AF8" s="105"/>
      <c r="AG8" s="105"/>
      <c r="AH8" s="105"/>
      <c r="AI8" s="105"/>
      <c r="AJ8" s="105"/>
      <c r="AK8" s="105"/>
      <c r="AL8" s="107"/>
    </row>
    <row r="9" spans="1:38" ht="15" customHeight="1">
      <c r="A9" s="8" t="s">
        <v>28</v>
      </c>
      <c r="B9" s="4" t="s">
        <v>72</v>
      </c>
      <c r="C9" s="8" t="s">
        <v>29</v>
      </c>
      <c r="D9" s="33" t="s">
        <v>20</v>
      </c>
      <c r="E9" s="10" t="s">
        <v>15</v>
      </c>
      <c r="F9" s="10" t="s">
        <v>30</v>
      </c>
      <c r="G9" s="10" t="s">
        <v>15</v>
      </c>
      <c r="H9" s="10" t="s">
        <v>73</v>
      </c>
      <c r="I9" s="10" t="s">
        <v>15</v>
      </c>
      <c r="J9" s="33" t="s">
        <v>19</v>
      </c>
      <c r="K9" s="33" t="s">
        <v>20</v>
      </c>
      <c r="L9" s="10" t="s">
        <v>31</v>
      </c>
      <c r="M9" s="10" t="s">
        <v>31</v>
      </c>
      <c r="N9" s="10" t="s">
        <v>15</v>
      </c>
      <c r="O9" s="10" t="s">
        <v>15</v>
      </c>
      <c r="P9" s="10" t="s">
        <v>15</v>
      </c>
      <c r="Q9" s="33" t="s">
        <v>19</v>
      </c>
      <c r="R9" s="33" t="s">
        <v>20</v>
      </c>
      <c r="S9" s="37" t="s">
        <v>32</v>
      </c>
      <c r="T9" s="37" t="s">
        <v>32</v>
      </c>
      <c r="U9" s="37" t="s">
        <v>32</v>
      </c>
      <c r="V9" s="10" t="s">
        <v>15</v>
      </c>
      <c r="W9" s="10" t="s">
        <v>15</v>
      </c>
      <c r="X9" s="33" t="s">
        <v>19</v>
      </c>
      <c r="Y9" s="33" t="s">
        <v>20</v>
      </c>
      <c r="Z9" s="10" t="s">
        <v>15</v>
      </c>
      <c r="AA9" s="10" t="s">
        <v>15</v>
      </c>
      <c r="AB9" s="10" t="s">
        <v>15</v>
      </c>
      <c r="AC9" s="10" t="s">
        <v>33</v>
      </c>
      <c r="AD9" s="10" t="s">
        <v>15</v>
      </c>
      <c r="AE9" s="33" t="s">
        <v>19</v>
      </c>
      <c r="AF9" s="18">
        <f t="shared" ref="AF9:AF24" si="0">COUNTIF(D9:AE9,"D")</f>
        <v>13</v>
      </c>
      <c r="AG9" s="18">
        <f t="shared" ref="AG9:AG24" si="1">COUNTIF(D9:AE9,"E")</f>
        <v>0</v>
      </c>
      <c r="AH9" s="18">
        <f t="shared" ref="AH9:AH24" si="2">COUNTIF(D9:AE9,"N")</f>
        <v>0</v>
      </c>
      <c r="AI9" s="18">
        <f t="shared" ref="AI9:AI24" si="3">COUNTIF(D9:AE9,"T")</f>
        <v>0</v>
      </c>
      <c r="AJ9" s="18">
        <f t="shared" ref="AJ9:AJ24" si="4">COUNTIF(D9:AE9,"X")</f>
        <v>4</v>
      </c>
      <c r="AK9" s="18">
        <f t="shared" ref="AK9:AK24" si="5">28-AF9-AG9-AH9-AI9-AJ9</f>
        <v>11</v>
      </c>
      <c r="AL9" s="2">
        <f>SUM(AJ9:AK9)</f>
        <v>15</v>
      </c>
    </row>
    <row r="10" spans="1:38" ht="15" customHeight="1">
      <c r="A10" s="8" t="s">
        <v>34</v>
      </c>
      <c r="B10" s="4" t="s">
        <v>35</v>
      </c>
      <c r="C10" s="8" t="s">
        <v>36</v>
      </c>
      <c r="D10" s="33" t="s">
        <v>20</v>
      </c>
      <c r="E10" s="10" t="s">
        <v>15</v>
      </c>
      <c r="F10" s="10" t="s">
        <v>15</v>
      </c>
      <c r="G10" s="22" t="s">
        <v>15</v>
      </c>
      <c r="H10" s="11" t="s">
        <v>37</v>
      </c>
      <c r="I10" s="23" t="s">
        <v>38</v>
      </c>
      <c r="J10" s="33" t="s">
        <v>19</v>
      </c>
      <c r="K10" s="33" t="s">
        <v>20</v>
      </c>
      <c r="L10" s="10" t="s">
        <v>15</v>
      </c>
      <c r="M10" s="10" t="s">
        <v>15</v>
      </c>
      <c r="N10" s="10" t="s">
        <v>15</v>
      </c>
      <c r="O10" s="10" t="s">
        <v>15</v>
      </c>
      <c r="P10" s="10" t="s">
        <v>15</v>
      </c>
      <c r="Q10" s="33" t="s">
        <v>19</v>
      </c>
      <c r="R10" s="33" t="s">
        <v>20</v>
      </c>
      <c r="S10" s="37" t="s">
        <v>32</v>
      </c>
      <c r="T10" s="37" t="s">
        <v>32</v>
      </c>
      <c r="U10" s="37" t="s">
        <v>32</v>
      </c>
      <c r="V10" s="10" t="s">
        <v>15</v>
      </c>
      <c r="W10" s="10" t="s">
        <v>15</v>
      </c>
      <c r="X10" s="33" t="s">
        <v>19</v>
      </c>
      <c r="Y10" s="33" t="s">
        <v>20</v>
      </c>
      <c r="Z10" s="10" t="s">
        <v>15</v>
      </c>
      <c r="AA10" s="10" t="s">
        <v>15</v>
      </c>
      <c r="AB10" s="10" t="s">
        <v>33</v>
      </c>
      <c r="AC10" s="10" t="s">
        <v>15</v>
      </c>
      <c r="AD10" s="10" t="s">
        <v>15</v>
      </c>
      <c r="AE10" s="33" t="s">
        <v>19</v>
      </c>
      <c r="AF10" s="18">
        <f t="shared" si="0"/>
        <v>14</v>
      </c>
      <c r="AG10" s="18">
        <f t="shared" si="1"/>
        <v>0</v>
      </c>
      <c r="AH10" s="18">
        <f t="shared" si="2"/>
        <v>0</v>
      </c>
      <c r="AI10" s="18">
        <f t="shared" si="3"/>
        <v>0</v>
      </c>
      <c r="AJ10" s="18">
        <f t="shared" si="4"/>
        <v>4</v>
      </c>
      <c r="AK10" s="18">
        <f t="shared" si="5"/>
        <v>10</v>
      </c>
      <c r="AL10" s="2">
        <f t="shared" ref="AL10:AL24" si="6">SUM(AJ10:AK10)</f>
        <v>14</v>
      </c>
    </row>
    <row r="11" spans="1:38" ht="15" customHeight="1">
      <c r="A11" s="8" t="s">
        <v>39</v>
      </c>
      <c r="B11" s="4" t="s">
        <v>40</v>
      </c>
      <c r="C11" s="8" t="s">
        <v>41</v>
      </c>
      <c r="D11" s="33" t="s">
        <v>15</v>
      </c>
      <c r="E11" s="10" t="s">
        <v>15</v>
      </c>
      <c r="F11" s="10" t="s">
        <v>15</v>
      </c>
      <c r="G11" s="10" t="s">
        <v>16</v>
      </c>
      <c r="H11" s="11" t="s">
        <v>32</v>
      </c>
      <c r="I11" s="11" t="s">
        <v>33</v>
      </c>
      <c r="J11" s="23" t="s">
        <v>19</v>
      </c>
      <c r="K11" s="11" t="s">
        <v>20</v>
      </c>
      <c r="L11" s="23" t="s">
        <v>19</v>
      </c>
      <c r="M11" s="10" t="s">
        <v>17</v>
      </c>
      <c r="N11" s="10" t="s">
        <v>17</v>
      </c>
      <c r="O11" s="10" t="s">
        <v>20</v>
      </c>
      <c r="P11" s="10" t="s">
        <v>32</v>
      </c>
      <c r="Q11" s="33" t="s">
        <v>15</v>
      </c>
      <c r="R11" s="33" t="s">
        <v>16</v>
      </c>
      <c r="S11" s="37" t="s">
        <v>19</v>
      </c>
      <c r="T11" s="37" t="s">
        <v>20</v>
      </c>
      <c r="U11" s="37" t="s">
        <v>32</v>
      </c>
      <c r="V11" s="10" t="s">
        <v>15</v>
      </c>
      <c r="W11" s="24" t="s">
        <v>15</v>
      </c>
      <c r="X11" s="34" t="s">
        <v>15</v>
      </c>
      <c r="Y11" s="23" t="s">
        <v>89</v>
      </c>
      <c r="Z11" s="10" t="s">
        <v>15</v>
      </c>
      <c r="AA11" s="10" t="s">
        <v>15</v>
      </c>
      <c r="AB11" s="10" t="s">
        <v>15</v>
      </c>
      <c r="AC11" s="10" t="s">
        <v>17</v>
      </c>
      <c r="AD11" s="10" t="s">
        <v>17</v>
      </c>
      <c r="AE11" s="23" t="s">
        <v>19</v>
      </c>
      <c r="AF11" s="18">
        <f t="shared" si="0"/>
        <v>10</v>
      </c>
      <c r="AG11" s="18">
        <f t="shared" si="1"/>
        <v>2</v>
      </c>
      <c r="AH11" s="18">
        <f t="shared" si="2"/>
        <v>4</v>
      </c>
      <c r="AI11" s="18">
        <f t="shared" si="3"/>
        <v>0</v>
      </c>
      <c r="AJ11" s="18">
        <f t="shared" si="4"/>
        <v>4</v>
      </c>
      <c r="AK11" s="18">
        <f t="shared" si="5"/>
        <v>8</v>
      </c>
      <c r="AL11" s="2">
        <f t="shared" si="6"/>
        <v>12</v>
      </c>
    </row>
    <row r="12" spans="1:38" ht="15" customHeight="1">
      <c r="A12" s="8" t="s">
        <v>42</v>
      </c>
      <c r="B12" s="4" t="s">
        <v>43</v>
      </c>
      <c r="C12" s="8" t="s">
        <v>41</v>
      </c>
      <c r="D12" s="33" t="s">
        <v>17</v>
      </c>
      <c r="E12" s="10" t="s">
        <v>19</v>
      </c>
      <c r="F12" s="10" t="s">
        <v>20</v>
      </c>
      <c r="G12" s="22" t="s">
        <v>15</v>
      </c>
      <c r="H12" s="22" t="s">
        <v>15</v>
      </c>
      <c r="I12" s="22" t="s">
        <v>16</v>
      </c>
      <c r="J12" s="33" t="s">
        <v>16</v>
      </c>
      <c r="K12" s="23" t="s">
        <v>16</v>
      </c>
      <c r="L12" s="23" t="s">
        <v>19</v>
      </c>
      <c r="M12" s="23" t="s">
        <v>20</v>
      </c>
      <c r="N12" s="23" t="s">
        <v>33</v>
      </c>
      <c r="O12" s="10" t="s">
        <v>15</v>
      </c>
      <c r="P12" s="10" t="s">
        <v>16</v>
      </c>
      <c r="Q12" s="33" t="s">
        <v>17</v>
      </c>
      <c r="R12" s="33" t="s">
        <v>17</v>
      </c>
      <c r="S12" s="37" t="s">
        <v>19</v>
      </c>
      <c r="T12" s="38" t="s">
        <v>20</v>
      </c>
      <c r="U12" s="38" t="s">
        <v>15</v>
      </c>
      <c r="V12" s="22" t="s">
        <v>15</v>
      </c>
      <c r="W12" s="23" t="s">
        <v>15</v>
      </c>
      <c r="X12" s="23" t="s">
        <v>32</v>
      </c>
      <c r="Y12" s="23" t="s">
        <v>16</v>
      </c>
      <c r="Z12" s="23" t="s">
        <v>20</v>
      </c>
      <c r="AA12" s="10" t="s">
        <v>17</v>
      </c>
      <c r="AB12" s="10" t="s">
        <v>17</v>
      </c>
      <c r="AC12" s="11" t="s">
        <v>19</v>
      </c>
      <c r="AD12" s="10" t="s">
        <v>32</v>
      </c>
      <c r="AE12" s="33" t="s">
        <v>15</v>
      </c>
      <c r="AF12" s="18">
        <f t="shared" si="0"/>
        <v>7</v>
      </c>
      <c r="AG12" s="18">
        <f t="shared" si="1"/>
        <v>5</v>
      </c>
      <c r="AH12" s="18">
        <f t="shared" si="2"/>
        <v>5</v>
      </c>
      <c r="AI12" s="18">
        <f t="shared" si="3"/>
        <v>0</v>
      </c>
      <c r="AJ12" s="18">
        <f t="shared" si="4"/>
        <v>4</v>
      </c>
      <c r="AK12" s="18">
        <f t="shared" si="5"/>
        <v>7</v>
      </c>
      <c r="AL12" s="2">
        <f t="shared" si="6"/>
        <v>11</v>
      </c>
    </row>
    <row r="13" spans="1:38" ht="15" customHeight="1">
      <c r="A13" s="8" t="s">
        <v>44</v>
      </c>
      <c r="B13" s="4" t="s">
        <v>45</v>
      </c>
      <c r="C13" s="8" t="s">
        <v>41</v>
      </c>
      <c r="D13" s="33" t="s">
        <v>19</v>
      </c>
      <c r="E13" s="10" t="s">
        <v>15</v>
      </c>
      <c r="F13" s="10" t="s">
        <v>15</v>
      </c>
      <c r="G13" s="10" t="s">
        <v>20</v>
      </c>
      <c r="H13" s="22" t="s">
        <v>15</v>
      </c>
      <c r="I13" s="22" t="s">
        <v>15</v>
      </c>
      <c r="J13" s="33" t="s">
        <v>15</v>
      </c>
      <c r="K13" s="33" t="s">
        <v>17</v>
      </c>
      <c r="L13" s="10" t="s">
        <v>17</v>
      </c>
      <c r="M13" s="10" t="s">
        <v>33</v>
      </c>
      <c r="N13" s="10" t="s">
        <v>20</v>
      </c>
      <c r="O13" s="10" t="s">
        <v>16</v>
      </c>
      <c r="P13" s="22" t="s">
        <v>16</v>
      </c>
      <c r="Q13" s="23" t="s">
        <v>19</v>
      </c>
      <c r="R13" s="33" t="s">
        <v>15</v>
      </c>
      <c r="S13" s="11" t="s">
        <v>19</v>
      </c>
      <c r="T13" s="23" t="s">
        <v>20</v>
      </c>
      <c r="U13" s="38" t="s">
        <v>16</v>
      </c>
      <c r="V13" s="10" t="s">
        <v>16</v>
      </c>
      <c r="W13" s="10" t="s">
        <v>17</v>
      </c>
      <c r="X13" s="33" t="s">
        <v>17</v>
      </c>
      <c r="Y13" s="33" t="s">
        <v>32</v>
      </c>
      <c r="Z13" s="10" t="s">
        <v>19</v>
      </c>
      <c r="AA13" s="10" t="s">
        <v>15</v>
      </c>
      <c r="AB13" s="10" t="s">
        <v>15</v>
      </c>
      <c r="AC13" s="10" t="s">
        <v>16</v>
      </c>
      <c r="AD13" s="10" t="s">
        <v>20</v>
      </c>
      <c r="AE13" s="33" t="s">
        <v>32</v>
      </c>
      <c r="AF13" s="18">
        <f t="shared" si="0"/>
        <v>8</v>
      </c>
      <c r="AG13" s="18">
        <f t="shared" si="1"/>
        <v>5</v>
      </c>
      <c r="AH13" s="18">
        <f t="shared" si="2"/>
        <v>4</v>
      </c>
      <c r="AI13" s="18">
        <f t="shared" si="3"/>
        <v>0</v>
      </c>
      <c r="AJ13" s="18">
        <f t="shared" si="4"/>
        <v>4</v>
      </c>
      <c r="AK13" s="18">
        <f t="shared" si="5"/>
        <v>7</v>
      </c>
      <c r="AL13" s="2">
        <f t="shared" si="6"/>
        <v>11</v>
      </c>
    </row>
    <row r="14" spans="1:38" ht="15" customHeight="1">
      <c r="A14" s="8" t="s">
        <v>46</v>
      </c>
      <c r="B14" s="4" t="s">
        <v>47</v>
      </c>
      <c r="C14" s="8" t="s">
        <v>41</v>
      </c>
      <c r="D14" s="33" t="s">
        <v>32</v>
      </c>
      <c r="E14" s="10" t="s">
        <v>16</v>
      </c>
      <c r="F14" s="10" t="s">
        <v>16</v>
      </c>
      <c r="G14" s="10" t="s">
        <v>19</v>
      </c>
      <c r="H14" s="10" t="s">
        <v>16</v>
      </c>
      <c r="I14" s="10" t="s">
        <v>17</v>
      </c>
      <c r="J14" s="33" t="s">
        <v>17</v>
      </c>
      <c r="K14" s="33" t="s">
        <v>20</v>
      </c>
      <c r="L14" s="10" t="s">
        <v>33</v>
      </c>
      <c r="M14" s="10" t="s">
        <v>15</v>
      </c>
      <c r="N14" s="22" t="s">
        <v>15</v>
      </c>
      <c r="O14" s="10" t="s">
        <v>15</v>
      </c>
      <c r="P14" s="11" t="s">
        <v>20</v>
      </c>
      <c r="Q14" s="11" t="s">
        <v>19</v>
      </c>
      <c r="R14" s="11" t="s">
        <v>32</v>
      </c>
      <c r="S14" s="23" t="s">
        <v>90</v>
      </c>
      <c r="T14" s="37" t="s">
        <v>79</v>
      </c>
      <c r="U14" s="37" t="s">
        <v>17</v>
      </c>
      <c r="V14" s="10" t="s">
        <v>17</v>
      </c>
      <c r="W14" s="10" t="s">
        <v>19</v>
      </c>
      <c r="X14" s="33" t="s">
        <v>20</v>
      </c>
      <c r="Y14" s="33" t="s">
        <v>15</v>
      </c>
      <c r="Z14" s="10" t="s">
        <v>16</v>
      </c>
      <c r="AA14" s="10" t="s">
        <v>16</v>
      </c>
      <c r="AB14" s="10" t="s">
        <v>16</v>
      </c>
      <c r="AC14" s="10" t="s">
        <v>19</v>
      </c>
      <c r="AD14" s="10" t="s">
        <v>73</v>
      </c>
      <c r="AE14" s="33" t="s">
        <v>73</v>
      </c>
      <c r="AF14" s="18">
        <f t="shared" si="0"/>
        <v>6</v>
      </c>
      <c r="AG14" s="18">
        <f t="shared" si="1"/>
        <v>7</v>
      </c>
      <c r="AH14" s="18">
        <f t="shared" si="2"/>
        <v>4</v>
      </c>
      <c r="AI14" s="18">
        <f t="shared" si="3"/>
        <v>0</v>
      </c>
      <c r="AJ14" s="18">
        <f t="shared" si="4"/>
        <v>4</v>
      </c>
      <c r="AK14" s="18">
        <f t="shared" si="5"/>
        <v>7</v>
      </c>
      <c r="AL14" s="2">
        <f t="shared" si="6"/>
        <v>11</v>
      </c>
    </row>
    <row r="15" spans="1:38" ht="15" customHeight="1">
      <c r="A15" s="12" t="s">
        <v>48</v>
      </c>
      <c r="B15" s="21" t="s">
        <v>78</v>
      </c>
      <c r="C15" s="12" t="s">
        <v>41</v>
      </c>
      <c r="D15" s="35" t="s">
        <v>16</v>
      </c>
      <c r="E15" s="14" t="s">
        <v>16</v>
      </c>
      <c r="F15" s="14" t="s">
        <v>33</v>
      </c>
      <c r="G15" s="14" t="s">
        <v>17</v>
      </c>
      <c r="H15" s="14" t="s">
        <v>17</v>
      </c>
      <c r="I15" s="14" t="s">
        <v>20</v>
      </c>
      <c r="J15" s="35" t="s">
        <v>19</v>
      </c>
      <c r="K15" s="35" t="s">
        <v>15</v>
      </c>
      <c r="L15" s="14" t="s">
        <v>15</v>
      </c>
      <c r="M15" s="14" t="s">
        <v>16</v>
      </c>
      <c r="N15" s="11" t="s">
        <v>19</v>
      </c>
      <c r="O15" s="25" t="s">
        <v>20</v>
      </c>
      <c r="P15" s="27" t="s">
        <v>15</v>
      </c>
      <c r="Q15" s="34" t="s">
        <v>15</v>
      </c>
      <c r="R15" s="35" t="s">
        <v>15</v>
      </c>
      <c r="S15" s="39" t="s">
        <v>16</v>
      </c>
      <c r="T15" s="25" t="s">
        <v>19</v>
      </c>
      <c r="U15" s="25" t="s">
        <v>20</v>
      </c>
      <c r="V15" s="14" t="s">
        <v>16</v>
      </c>
      <c r="W15" s="14" t="s">
        <v>32</v>
      </c>
      <c r="X15" s="35" t="s">
        <v>16</v>
      </c>
      <c r="Y15" s="35" t="s">
        <v>17</v>
      </c>
      <c r="Z15" s="14" t="s">
        <v>17</v>
      </c>
      <c r="AA15" s="14" t="s">
        <v>19</v>
      </c>
      <c r="AB15" s="14" t="s">
        <v>88</v>
      </c>
      <c r="AC15" s="14" t="s">
        <v>15</v>
      </c>
      <c r="AD15" s="14" t="s">
        <v>15</v>
      </c>
      <c r="AE15" s="35" t="s">
        <v>80</v>
      </c>
      <c r="AF15" s="18">
        <f t="shared" si="0"/>
        <v>7</v>
      </c>
      <c r="AG15" s="18">
        <f t="shared" si="1"/>
        <v>6</v>
      </c>
      <c r="AH15" s="18">
        <f t="shared" si="2"/>
        <v>4</v>
      </c>
      <c r="AI15" s="18">
        <f t="shared" si="3"/>
        <v>0</v>
      </c>
      <c r="AJ15" s="18">
        <f t="shared" si="4"/>
        <v>4</v>
      </c>
      <c r="AK15" s="18">
        <f t="shared" si="5"/>
        <v>7</v>
      </c>
      <c r="AL15" s="2">
        <f t="shared" si="6"/>
        <v>11</v>
      </c>
    </row>
    <row r="16" spans="1:38" ht="15" customHeight="1">
      <c r="A16" s="12" t="s">
        <v>50</v>
      </c>
      <c r="B16" s="13" t="s">
        <v>51</v>
      </c>
      <c r="C16" s="12" t="s">
        <v>41</v>
      </c>
      <c r="D16" s="35" t="s">
        <v>32</v>
      </c>
      <c r="E16" s="14" t="s">
        <v>19</v>
      </c>
      <c r="F16" s="14" t="s">
        <v>16</v>
      </c>
      <c r="G16" s="14" t="s">
        <v>17</v>
      </c>
      <c r="H16" s="14" t="s">
        <v>17</v>
      </c>
      <c r="I16" s="14" t="s">
        <v>33</v>
      </c>
      <c r="J16" s="35" t="s">
        <v>20</v>
      </c>
      <c r="K16" s="35" t="s">
        <v>15</v>
      </c>
      <c r="L16" s="14" t="s">
        <v>16</v>
      </c>
      <c r="M16" s="14" t="s">
        <v>16</v>
      </c>
      <c r="N16" s="14" t="s">
        <v>16</v>
      </c>
      <c r="O16" s="14" t="s">
        <v>19</v>
      </c>
      <c r="P16" s="14" t="s">
        <v>20</v>
      </c>
      <c r="Q16" s="35" t="s">
        <v>16</v>
      </c>
      <c r="R16" s="35" t="s">
        <v>16</v>
      </c>
      <c r="S16" s="39" t="s">
        <v>17</v>
      </c>
      <c r="T16" s="39" t="s">
        <v>17</v>
      </c>
      <c r="U16" s="39" t="s">
        <v>19</v>
      </c>
      <c r="V16" s="14" t="s">
        <v>20</v>
      </c>
      <c r="W16" s="14" t="s">
        <v>73</v>
      </c>
      <c r="X16" s="35" t="s">
        <v>73</v>
      </c>
      <c r="Y16" s="11" t="s">
        <v>32</v>
      </c>
      <c r="Z16" s="11" t="s">
        <v>52</v>
      </c>
      <c r="AA16" s="25" t="s">
        <v>19</v>
      </c>
      <c r="AB16" s="25" t="s">
        <v>82</v>
      </c>
      <c r="AC16" s="40" t="s">
        <v>73</v>
      </c>
      <c r="AD16" s="14" t="s">
        <v>79</v>
      </c>
      <c r="AE16" s="35" t="s">
        <v>79</v>
      </c>
      <c r="AF16" s="18">
        <f t="shared" si="0"/>
        <v>4</v>
      </c>
      <c r="AG16" s="18">
        <f t="shared" si="1"/>
        <v>8</v>
      </c>
      <c r="AH16" s="18">
        <f t="shared" si="2"/>
        <v>4</v>
      </c>
      <c r="AI16" s="18">
        <f t="shared" si="3"/>
        <v>0</v>
      </c>
      <c r="AJ16" s="18">
        <f t="shared" si="4"/>
        <v>4</v>
      </c>
      <c r="AK16" s="18">
        <f t="shared" si="5"/>
        <v>8</v>
      </c>
      <c r="AL16" s="2">
        <f t="shared" si="6"/>
        <v>12</v>
      </c>
    </row>
    <row r="17" spans="1:38" ht="15" customHeight="1">
      <c r="A17" s="12" t="s">
        <v>53</v>
      </c>
      <c r="B17" s="13" t="s">
        <v>54</v>
      </c>
      <c r="C17" s="12" t="s">
        <v>41</v>
      </c>
      <c r="D17" s="35" t="s">
        <v>19</v>
      </c>
      <c r="E17" s="14" t="s">
        <v>20</v>
      </c>
      <c r="F17" s="14" t="s">
        <v>15</v>
      </c>
      <c r="G17" s="14" t="s">
        <v>15</v>
      </c>
      <c r="H17" s="25" t="s">
        <v>15</v>
      </c>
      <c r="I17" s="11" t="s">
        <v>52</v>
      </c>
      <c r="J17" s="25" t="s">
        <v>19</v>
      </c>
      <c r="K17" s="11" t="s">
        <v>32</v>
      </c>
      <c r="L17" s="11" t="s">
        <v>16</v>
      </c>
      <c r="M17" s="14" t="s">
        <v>17</v>
      </c>
      <c r="N17" s="14" t="s">
        <v>17</v>
      </c>
      <c r="O17" s="14" t="s">
        <v>19</v>
      </c>
      <c r="P17" s="14" t="s">
        <v>33</v>
      </c>
      <c r="Q17" s="35" t="s">
        <v>16</v>
      </c>
      <c r="R17" s="35" t="s">
        <v>20</v>
      </c>
      <c r="S17" s="39" t="s">
        <v>15</v>
      </c>
      <c r="T17" s="39" t="s">
        <v>15</v>
      </c>
      <c r="U17" s="39" t="s">
        <v>19</v>
      </c>
      <c r="V17" s="14" t="s">
        <v>20</v>
      </c>
      <c r="W17" s="14" t="s">
        <v>79</v>
      </c>
      <c r="X17" s="35" t="s">
        <v>79</v>
      </c>
      <c r="Y17" s="35" t="s">
        <v>17</v>
      </c>
      <c r="Z17" s="14" t="s">
        <v>17</v>
      </c>
      <c r="AA17" s="14" t="s">
        <v>19</v>
      </c>
      <c r="AB17" s="14" t="s">
        <v>20</v>
      </c>
      <c r="AC17" s="28" t="s">
        <v>73</v>
      </c>
      <c r="AD17" s="14" t="s">
        <v>73</v>
      </c>
      <c r="AE17" s="35" t="s">
        <v>16</v>
      </c>
      <c r="AF17" s="18">
        <f t="shared" si="0"/>
        <v>7</v>
      </c>
      <c r="AG17" s="18">
        <f t="shared" si="1"/>
        <v>5</v>
      </c>
      <c r="AH17" s="18">
        <f t="shared" si="2"/>
        <v>4</v>
      </c>
      <c r="AI17" s="18">
        <f t="shared" si="3"/>
        <v>0</v>
      </c>
      <c r="AJ17" s="18">
        <f t="shared" si="4"/>
        <v>5</v>
      </c>
      <c r="AK17" s="18">
        <f t="shared" si="5"/>
        <v>7</v>
      </c>
      <c r="AL17" s="2">
        <f t="shared" si="6"/>
        <v>12</v>
      </c>
    </row>
    <row r="18" spans="1:38" ht="15" customHeight="1">
      <c r="A18" s="12" t="s">
        <v>55</v>
      </c>
      <c r="B18" s="21" t="s">
        <v>77</v>
      </c>
      <c r="C18" s="12" t="s">
        <v>41</v>
      </c>
      <c r="D18" s="35" t="s">
        <v>16</v>
      </c>
      <c r="E18" s="14" t="s">
        <v>17</v>
      </c>
      <c r="F18" s="14" t="s">
        <v>17</v>
      </c>
      <c r="G18" s="14" t="s">
        <v>19</v>
      </c>
      <c r="H18" s="14" t="s">
        <v>33</v>
      </c>
      <c r="I18" s="14" t="s">
        <v>15</v>
      </c>
      <c r="J18" s="35" t="s">
        <v>15</v>
      </c>
      <c r="K18" s="35" t="s">
        <v>20</v>
      </c>
      <c r="L18" s="14" t="s">
        <v>15</v>
      </c>
      <c r="M18" s="14" t="s">
        <v>15</v>
      </c>
      <c r="N18" s="14" t="s">
        <v>16</v>
      </c>
      <c r="O18" s="14" t="s">
        <v>17</v>
      </c>
      <c r="P18" s="14" t="s">
        <v>17</v>
      </c>
      <c r="Q18" s="35" t="s">
        <v>19</v>
      </c>
      <c r="R18" s="35" t="s">
        <v>20</v>
      </c>
      <c r="S18" s="39" t="s">
        <v>15</v>
      </c>
      <c r="T18" s="39" t="s">
        <v>73</v>
      </c>
      <c r="U18" s="39" t="s">
        <v>73</v>
      </c>
      <c r="V18" s="14" t="s">
        <v>19</v>
      </c>
      <c r="W18" s="27" t="s">
        <v>20</v>
      </c>
      <c r="X18" s="35" t="s">
        <v>32</v>
      </c>
      <c r="Y18" s="25" t="s">
        <v>15</v>
      </c>
      <c r="Z18" s="25" t="s">
        <v>20</v>
      </c>
      <c r="AA18" s="11" t="s">
        <v>19</v>
      </c>
      <c r="AB18" s="14" t="s">
        <v>83</v>
      </c>
      <c r="AC18" s="14" t="s">
        <v>16</v>
      </c>
      <c r="AD18" s="14" t="s">
        <v>16</v>
      </c>
      <c r="AE18" s="35" t="s">
        <v>17</v>
      </c>
      <c r="AF18" s="18">
        <f t="shared" si="0"/>
        <v>9</v>
      </c>
      <c r="AG18" s="18">
        <f t="shared" si="1"/>
        <v>4</v>
      </c>
      <c r="AH18" s="18">
        <f t="shared" si="2"/>
        <v>5</v>
      </c>
      <c r="AI18" s="18">
        <f t="shared" si="3"/>
        <v>0</v>
      </c>
      <c r="AJ18" s="18">
        <f t="shared" si="4"/>
        <v>4</v>
      </c>
      <c r="AK18" s="18">
        <f t="shared" si="5"/>
        <v>6</v>
      </c>
      <c r="AL18" s="2">
        <f t="shared" si="6"/>
        <v>10</v>
      </c>
    </row>
    <row r="19" spans="1:38" ht="15" customHeight="1">
      <c r="A19" s="12" t="s">
        <v>57</v>
      </c>
      <c r="B19" s="13" t="s">
        <v>58</v>
      </c>
      <c r="C19" s="12" t="s">
        <v>41</v>
      </c>
      <c r="D19" s="35" t="s">
        <v>15</v>
      </c>
      <c r="E19" s="14" t="s">
        <v>15</v>
      </c>
      <c r="F19" s="14" t="s">
        <v>19</v>
      </c>
      <c r="G19" s="14" t="s">
        <v>16</v>
      </c>
      <c r="H19" s="14" t="s">
        <v>20</v>
      </c>
      <c r="I19" s="14" t="s">
        <v>17</v>
      </c>
      <c r="J19" s="35" t="s">
        <v>17</v>
      </c>
      <c r="K19" s="35" t="s">
        <v>84</v>
      </c>
      <c r="L19" s="14" t="s">
        <v>19</v>
      </c>
      <c r="M19" s="14" t="s">
        <v>15</v>
      </c>
      <c r="N19" s="14" t="s">
        <v>15</v>
      </c>
      <c r="O19" s="14" t="s">
        <v>16</v>
      </c>
      <c r="P19" s="14" t="s">
        <v>20</v>
      </c>
      <c r="Q19" s="35" t="s">
        <v>32</v>
      </c>
      <c r="R19" s="35" t="s">
        <v>15</v>
      </c>
      <c r="S19" s="39" t="s">
        <v>17</v>
      </c>
      <c r="T19" s="39" t="s">
        <v>17</v>
      </c>
      <c r="U19" s="39" t="s">
        <v>33</v>
      </c>
      <c r="V19" s="14" t="s">
        <v>20</v>
      </c>
      <c r="W19" s="14" t="s">
        <v>16</v>
      </c>
      <c r="X19" s="35" t="s">
        <v>19</v>
      </c>
      <c r="Y19" s="35" t="s">
        <v>16</v>
      </c>
      <c r="Z19" s="14" t="s">
        <v>16</v>
      </c>
      <c r="AA19" s="14" t="s">
        <v>16</v>
      </c>
      <c r="AB19" s="14" t="s">
        <v>16</v>
      </c>
      <c r="AC19" s="14" t="s">
        <v>19</v>
      </c>
      <c r="AD19" s="14" t="s">
        <v>20</v>
      </c>
      <c r="AE19" s="35" t="s">
        <v>17</v>
      </c>
      <c r="AF19" s="18">
        <f t="shared" si="0"/>
        <v>5</v>
      </c>
      <c r="AG19" s="18">
        <f t="shared" si="1"/>
        <v>7</v>
      </c>
      <c r="AH19" s="18">
        <f t="shared" si="2"/>
        <v>5</v>
      </c>
      <c r="AI19" s="18">
        <f t="shared" si="3"/>
        <v>0</v>
      </c>
      <c r="AJ19" s="18">
        <f t="shared" si="4"/>
        <v>4</v>
      </c>
      <c r="AK19" s="18">
        <f t="shared" si="5"/>
        <v>7</v>
      </c>
      <c r="AL19" s="2">
        <f t="shared" si="6"/>
        <v>11</v>
      </c>
    </row>
    <row r="20" spans="1:38" ht="15" customHeight="1">
      <c r="A20" s="8" t="s">
        <v>59</v>
      </c>
      <c r="B20" s="20" t="s">
        <v>76</v>
      </c>
      <c r="C20" s="8" t="s">
        <v>41</v>
      </c>
      <c r="D20" s="33" t="s">
        <v>20</v>
      </c>
      <c r="E20" s="10" t="s">
        <v>16</v>
      </c>
      <c r="F20" s="10" t="s">
        <v>16</v>
      </c>
      <c r="G20" s="10" t="s">
        <v>19</v>
      </c>
      <c r="H20" s="10" t="s">
        <v>16</v>
      </c>
      <c r="I20" s="10" t="s">
        <v>16</v>
      </c>
      <c r="J20" s="33" t="s">
        <v>16</v>
      </c>
      <c r="K20" s="33" t="s">
        <v>20</v>
      </c>
      <c r="L20" s="10" t="s">
        <v>15</v>
      </c>
      <c r="M20" s="10" t="s">
        <v>15</v>
      </c>
      <c r="N20" s="10" t="s">
        <v>15</v>
      </c>
      <c r="O20" s="10" t="s">
        <v>17</v>
      </c>
      <c r="P20" s="10" t="s">
        <v>17</v>
      </c>
      <c r="Q20" s="33" t="s">
        <v>19</v>
      </c>
      <c r="R20" s="33" t="s">
        <v>20</v>
      </c>
      <c r="S20" s="37" t="s">
        <v>16</v>
      </c>
      <c r="T20" s="37" t="s">
        <v>16</v>
      </c>
      <c r="U20" s="37" t="s">
        <v>19</v>
      </c>
      <c r="V20" s="10" t="s">
        <v>20</v>
      </c>
      <c r="W20" s="10" t="s">
        <v>33</v>
      </c>
      <c r="X20" s="33" t="s">
        <v>15</v>
      </c>
      <c r="Y20" s="33" t="s">
        <v>32</v>
      </c>
      <c r="Z20" s="10" t="s">
        <v>15</v>
      </c>
      <c r="AA20" s="10" t="s">
        <v>16</v>
      </c>
      <c r="AB20" s="10" t="s">
        <v>19</v>
      </c>
      <c r="AC20" s="10" t="s">
        <v>17</v>
      </c>
      <c r="AD20" s="10" t="s">
        <v>17</v>
      </c>
      <c r="AE20" s="33" t="s">
        <v>20</v>
      </c>
      <c r="AF20" s="18">
        <f t="shared" si="0"/>
        <v>5</v>
      </c>
      <c r="AG20" s="18">
        <f t="shared" si="1"/>
        <v>8</v>
      </c>
      <c r="AH20" s="18">
        <f t="shared" si="2"/>
        <v>4</v>
      </c>
      <c r="AI20" s="18">
        <f t="shared" si="3"/>
        <v>0</v>
      </c>
      <c r="AJ20" s="18">
        <f t="shared" si="4"/>
        <v>4</v>
      </c>
      <c r="AK20" s="18">
        <f t="shared" si="5"/>
        <v>7</v>
      </c>
      <c r="AL20" s="2">
        <f t="shared" si="6"/>
        <v>11</v>
      </c>
    </row>
    <row r="21" spans="1:38" ht="15" customHeight="1">
      <c r="A21" s="8" t="s">
        <v>61</v>
      </c>
      <c r="B21" s="4" t="s">
        <v>62</v>
      </c>
      <c r="C21" s="8" t="s">
        <v>41</v>
      </c>
      <c r="D21" s="33" t="s">
        <v>17</v>
      </c>
      <c r="E21" s="10" t="s">
        <v>19</v>
      </c>
      <c r="F21" s="10" t="s">
        <v>32</v>
      </c>
      <c r="G21" s="10" t="s">
        <v>15</v>
      </c>
      <c r="H21" s="10" t="s">
        <v>15</v>
      </c>
      <c r="I21" s="10" t="s">
        <v>15</v>
      </c>
      <c r="J21" s="33" t="s">
        <v>20</v>
      </c>
      <c r="K21" s="33" t="s">
        <v>16</v>
      </c>
      <c r="L21" s="10" t="s">
        <v>16</v>
      </c>
      <c r="M21" s="10" t="s">
        <v>16</v>
      </c>
      <c r="N21" s="10" t="s">
        <v>19</v>
      </c>
      <c r="O21" s="10" t="s">
        <v>20</v>
      </c>
      <c r="P21" s="10" t="s">
        <v>15</v>
      </c>
      <c r="Q21" s="33" t="s">
        <v>17</v>
      </c>
      <c r="R21" s="33" t="s">
        <v>17</v>
      </c>
      <c r="S21" s="37" t="s">
        <v>19</v>
      </c>
      <c r="T21" s="37" t="s">
        <v>20</v>
      </c>
      <c r="U21" s="37" t="s">
        <v>15</v>
      </c>
      <c r="V21" s="10" t="s">
        <v>15</v>
      </c>
      <c r="W21" s="10" t="s">
        <v>16</v>
      </c>
      <c r="X21" s="33" t="s">
        <v>32</v>
      </c>
      <c r="Y21" s="33" t="s">
        <v>32</v>
      </c>
      <c r="Z21" s="10" t="s">
        <v>16</v>
      </c>
      <c r="AA21" s="10" t="s">
        <v>17</v>
      </c>
      <c r="AB21" s="10" t="s">
        <v>17</v>
      </c>
      <c r="AC21" s="10" t="s">
        <v>19</v>
      </c>
      <c r="AD21" s="10" t="s">
        <v>20</v>
      </c>
      <c r="AE21" s="33" t="s">
        <v>73</v>
      </c>
      <c r="AF21" s="18">
        <f t="shared" si="0"/>
        <v>7</v>
      </c>
      <c r="AG21" s="18">
        <f t="shared" si="1"/>
        <v>5</v>
      </c>
      <c r="AH21" s="18">
        <f t="shared" si="2"/>
        <v>5</v>
      </c>
      <c r="AI21" s="18">
        <f t="shared" si="3"/>
        <v>0</v>
      </c>
      <c r="AJ21" s="18">
        <f t="shared" si="4"/>
        <v>4</v>
      </c>
      <c r="AK21" s="18">
        <f t="shared" si="5"/>
        <v>7</v>
      </c>
      <c r="AL21" s="2">
        <f t="shared" si="6"/>
        <v>11</v>
      </c>
    </row>
    <row r="22" spans="1:38" ht="15" customHeight="1">
      <c r="A22" s="8" t="s">
        <v>63</v>
      </c>
      <c r="B22" s="4" t="s">
        <v>64</v>
      </c>
      <c r="C22" s="8" t="s">
        <v>41</v>
      </c>
      <c r="D22" s="33" t="s">
        <v>15</v>
      </c>
      <c r="E22" s="10" t="s">
        <v>17</v>
      </c>
      <c r="F22" s="10" t="s">
        <v>17</v>
      </c>
      <c r="G22" s="10" t="s">
        <v>19</v>
      </c>
      <c r="H22" s="10" t="s">
        <v>20</v>
      </c>
      <c r="I22" s="10" t="s">
        <v>15</v>
      </c>
      <c r="J22" s="33" t="s">
        <v>15</v>
      </c>
      <c r="K22" s="33" t="s">
        <v>15</v>
      </c>
      <c r="L22" s="10" t="s">
        <v>15</v>
      </c>
      <c r="M22" s="10" t="s">
        <v>33</v>
      </c>
      <c r="N22" s="10" t="s">
        <v>16</v>
      </c>
      <c r="O22" s="10" t="s">
        <v>16</v>
      </c>
      <c r="P22" s="10" t="s">
        <v>16</v>
      </c>
      <c r="Q22" s="33" t="s">
        <v>20</v>
      </c>
      <c r="R22" s="33" t="s">
        <v>19</v>
      </c>
      <c r="S22" s="37" t="s">
        <v>15</v>
      </c>
      <c r="T22" s="37" t="s">
        <v>19</v>
      </c>
      <c r="U22" s="37" t="s">
        <v>79</v>
      </c>
      <c r="V22" s="10" t="s">
        <v>16</v>
      </c>
      <c r="W22" s="10" t="s">
        <v>17</v>
      </c>
      <c r="X22" s="33" t="s">
        <v>17</v>
      </c>
      <c r="Y22" s="33" t="s">
        <v>20</v>
      </c>
      <c r="Z22" s="10" t="s">
        <v>19</v>
      </c>
      <c r="AA22" s="10" t="s">
        <v>15</v>
      </c>
      <c r="AB22" s="10" t="s">
        <v>15</v>
      </c>
      <c r="AC22" s="10" t="s">
        <v>15</v>
      </c>
      <c r="AD22" s="10" t="s">
        <v>20</v>
      </c>
      <c r="AE22" s="33" t="s">
        <v>32</v>
      </c>
      <c r="AF22" s="18">
        <f t="shared" si="0"/>
        <v>9</v>
      </c>
      <c r="AG22" s="18">
        <f t="shared" si="1"/>
        <v>5</v>
      </c>
      <c r="AH22" s="18">
        <f t="shared" si="2"/>
        <v>4</v>
      </c>
      <c r="AI22" s="18">
        <f t="shared" si="3"/>
        <v>0</v>
      </c>
      <c r="AJ22" s="18">
        <f t="shared" si="4"/>
        <v>4</v>
      </c>
      <c r="AK22" s="18">
        <f t="shared" si="5"/>
        <v>6</v>
      </c>
      <c r="AL22" s="2">
        <f t="shared" si="6"/>
        <v>10</v>
      </c>
    </row>
    <row r="23" spans="1:38" ht="15" customHeight="1">
      <c r="A23" s="8" t="s">
        <v>65</v>
      </c>
      <c r="B23" s="4" t="s">
        <v>66</v>
      </c>
      <c r="C23" s="8" t="s">
        <v>41</v>
      </c>
      <c r="D23" s="11" t="s">
        <v>32</v>
      </c>
      <c r="E23" s="11" t="s">
        <v>20</v>
      </c>
      <c r="F23" s="10" t="s">
        <v>15</v>
      </c>
      <c r="G23" s="10" t="s">
        <v>16</v>
      </c>
      <c r="H23" s="10" t="s">
        <v>16</v>
      </c>
      <c r="I23" s="10" t="s">
        <v>16</v>
      </c>
      <c r="J23" s="33" t="s">
        <v>19</v>
      </c>
      <c r="K23" s="33" t="s">
        <v>17</v>
      </c>
      <c r="L23" s="10" t="s">
        <v>17</v>
      </c>
      <c r="M23" s="10" t="s">
        <v>19</v>
      </c>
      <c r="N23" s="10" t="s">
        <v>33</v>
      </c>
      <c r="O23" s="10" t="s">
        <v>15</v>
      </c>
      <c r="P23" s="10" t="s">
        <v>15</v>
      </c>
      <c r="Q23" s="33" t="s">
        <v>15</v>
      </c>
      <c r="R23" s="33" t="s">
        <v>20</v>
      </c>
      <c r="S23" s="37" t="s">
        <v>86</v>
      </c>
      <c r="T23" s="37" t="s">
        <v>15</v>
      </c>
      <c r="U23" s="38" t="s">
        <v>17</v>
      </c>
      <c r="V23" s="10" t="s">
        <v>17</v>
      </c>
      <c r="W23" s="26" t="s">
        <v>85</v>
      </c>
      <c r="X23" s="33" t="s">
        <v>87</v>
      </c>
      <c r="Y23" s="33" t="s">
        <v>15</v>
      </c>
      <c r="Z23" s="10" t="s">
        <v>15</v>
      </c>
      <c r="AA23" s="10" t="s">
        <v>19</v>
      </c>
      <c r="AB23" s="10" t="s">
        <v>79</v>
      </c>
      <c r="AC23" s="10" t="s">
        <v>79</v>
      </c>
      <c r="AD23" s="10" t="s">
        <v>79</v>
      </c>
      <c r="AE23" s="33" t="s">
        <v>20</v>
      </c>
      <c r="AF23" s="18">
        <f t="shared" si="0"/>
        <v>7</v>
      </c>
      <c r="AG23" s="18">
        <f t="shared" si="1"/>
        <v>6</v>
      </c>
      <c r="AH23" s="18">
        <f t="shared" si="2"/>
        <v>4</v>
      </c>
      <c r="AI23" s="18">
        <f t="shared" si="3"/>
        <v>0</v>
      </c>
      <c r="AJ23" s="18">
        <f t="shared" si="4"/>
        <v>4</v>
      </c>
      <c r="AK23" s="18">
        <f t="shared" si="5"/>
        <v>7</v>
      </c>
      <c r="AL23" s="2">
        <f t="shared" si="6"/>
        <v>11</v>
      </c>
    </row>
    <row r="24" spans="1:38" ht="15" hidden="1" customHeight="1">
      <c r="A24" s="8" t="s">
        <v>67</v>
      </c>
      <c r="B24" s="4" t="s">
        <v>68</v>
      </c>
      <c r="C24" s="8" t="s">
        <v>41</v>
      </c>
      <c r="D24" s="10" t="s">
        <v>69</v>
      </c>
      <c r="E24" s="10" t="s">
        <v>69</v>
      </c>
      <c r="F24" s="10" t="s">
        <v>69</v>
      </c>
      <c r="G24" s="10" t="s">
        <v>69</v>
      </c>
      <c r="H24" s="10" t="s">
        <v>69</v>
      </c>
      <c r="I24" s="10" t="s">
        <v>69</v>
      </c>
      <c r="J24" s="10" t="s">
        <v>69</v>
      </c>
      <c r="K24" s="10" t="s">
        <v>69</v>
      </c>
      <c r="L24" s="10" t="s">
        <v>69</v>
      </c>
      <c r="M24" s="10" t="s">
        <v>69</v>
      </c>
      <c r="N24" s="10" t="s">
        <v>69</v>
      </c>
      <c r="O24" s="10" t="s">
        <v>69</v>
      </c>
      <c r="P24" s="10" t="s">
        <v>69</v>
      </c>
      <c r="Q24" s="10" t="s">
        <v>69</v>
      </c>
      <c r="R24" s="10" t="s">
        <v>69</v>
      </c>
      <c r="S24" s="10" t="s">
        <v>69</v>
      </c>
      <c r="T24" s="10" t="s">
        <v>69</v>
      </c>
      <c r="U24" s="10" t="s">
        <v>69</v>
      </c>
      <c r="V24" s="10" t="s">
        <v>69</v>
      </c>
      <c r="W24" s="10" t="s">
        <v>69</v>
      </c>
      <c r="X24" s="10" t="s">
        <v>69</v>
      </c>
      <c r="Y24" s="10" t="s">
        <v>69</v>
      </c>
      <c r="Z24" s="10" t="s">
        <v>69</v>
      </c>
      <c r="AA24" s="10" t="s">
        <v>69</v>
      </c>
      <c r="AB24" s="10" t="s">
        <v>69</v>
      </c>
      <c r="AC24" s="10" t="s">
        <v>69</v>
      </c>
      <c r="AD24" s="10" t="s">
        <v>69</v>
      </c>
      <c r="AE24" s="10" t="s">
        <v>69</v>
      </c>
      <c r="AF24" s="10">
        <f t="shared" si="0"/>
        <v>0</v>
      </c>
      <c r="AG24" s="10">
        <f t="shared" si="1"/>
        <v>0</v>
      </c>
      <c r="AH24" s="10">
        <f t="shared" si="2"/>
        <v>0</v>
      </c>
      <c r="AI24" s="10">
        <f t="shared" si="3"/>
        <v>0</v>
      </c>
      <c r="AJ24" s="10">
        <f t="shared" si="4"/>
        <v>0</v>
      </c>
      <c r="AK24" s="10">
        <f t="shared" si="5"/>
        <v>28</v>
      </c>
      <c r="AL24" s="2">
        <f t="shared" si="6"/>
        <v>28</v>
      </c>
    </row>
    <row r="25" spans="1:38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5" t="s">
        <v>70</v>
      </c>
      <c r="AF25" s="19">
        <f t="shared" ref="AF25:AK25" si="7">SUM(AF9:AF24)</f>
        <v>118</v>
      </c>
      <c r="AG25" s="19">
        <f t="shared" si="7"/>
        <v>73</v>
      </c>
      <c r="AH25" s="19">
        <f t="shared" si="7"/>
        <v>56</v>
      </c>
      <c r="AI25" s="19">
        <f t="shared" si="7"/>
        <v>0</v>
      </c>
      <c r="AJ25" s="19">
        <f t="shared" si="7"/>
        <v>61</v>
      </c>
      <c r="AK25" s="19">
        <f t="shared" si="7"/>
        <v>140</v>
      </c>
      <c r="AL25" s="19">
        <f>SUM(AL9:AL23)</f>
        <v>173</v>
      </c>
    </row>
    <row r="26" spans="1:38" ht="15" customHeight="1">
      <c r="A26" s="96" t="s">
        <v>11</v>
      </c>
      <c r="B26" s="96"/>
      <c r="C26" s="96"/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4" t="s">
        <v>71</v>
      </c>
    </row>
    <row r="27" spans="1:38" ht="15" customHeight="1">
      <c r="A27" s="93" t="s">
        <v>15</v>
      </c>
      <c r="B27" s="93"/>
      <c r="C27" s="93"/>
      <c r="D27" s="1">
        <f>COUNTIF(D9:D23,"D")</f>
        <v>3</v>
      </c>
      <c r="E27" s="1">
        <f t="shared" ref="E27:AE27" si="8">COUNTIF(E9:E23,"D")</f>
        <v>5</v>
      </c>
      <c r="F27" s="1">
        <f t="shared" si="8"/>
        <v>5</v>
      </c>
      <c r="G27" s="1">
        <f t="shared" si="8"/>
        <v>5</v>
      </c>
      <c r="H27" s="1">
        <f t="shared" si="8"/>
        <v>5</v>
      </c>
      <c r="I27" s="1">
        <f t="shared" si="8"/>
        <v>5</v>
      </c>
      <c r="J27" s="1">
        <f t="shared" si="8"/>
        <v>3</v>
      </c>
      <c r="K27" s="1">
        <f t="shared" si="8"/>
        <v>3</v>
      </c>
      <c r="L27" s="1">
        <f t="shared" si="8"/>
        <v>5</v>
      </c>
      <c r="M27" s="1">
        <f t="shared" si="8"/>
        <v>5</v>
      </c>
      <c r="N27" s="1">
        <f t="shared" si="8"/>
        <v>5</v>
      </c>
      <c r="O27" s="1">
        <f t="shared" si="8"/>
        <v>5</v>
      </c>
      <c r="P27" s="1">
        <f t="shared" si="8"/>
        <v>5</v>
      </c>
      <c r="Q27" s="1">
        <f t="shared" si="8"/>
        <v>3</v>
      </c>
      <c r="R27" s="1">
        <f t="shared" si="8"/>
        <v>3</v>
      </c>
      <c r="S27" s="1">
        <f t="shared" si="8"/>
        <v>3</v>
      </c>
      <c r="T27" s="1">
        <f t="shared" si="8"/>
        <v>3</v>
      </c>
      <c r="U27" s="1">
        <f t="shared" si="8"/>
        <v>3</v>
      </c>
      <c r="V27" s="1">
        <f t="shared" si="8"/>
        <v>5</v>
      </c>
      <c r="W27" s="1">
        <f t="shared" si="8"/>
        <v>5</v>
      </c>
      <c r="X27" s="1">
        <f t="shared" si="8"/>
        <v>3</v>
      </c>
      <c r="Y27" s="1">
        <f t="shared" si="8"/>
        <v>3</v>
      </c>
      <c r="Z27" s="1">
        <f t="shared" si="8"/>
        <v>5</v>
      </c>
      <c r="AA27" s="1">
        <f t="shared" si="8"/>
        <v>5</v>
      </c>
      <c r="AB27" s="1">
        <f t="shared" si="8"/>
        <v>5</v>
      </c>
      <c r="AC27" s="1">
        <f t="shared" si="8"/>
        <v>5</v>
      </c>
      <c r="AD27" s="1">
        <f t="shared" si="8"/>
        <v>5</v>
      </c>
      <c r="AE27" s="1">
        <f t="shared" si="8"/>
        <v>3</v>
      </c>
      <c r="AF27" s="1"/>
      <c r="AG27" s="1"/>
      <c r="AH27" s="1"/>
      <c r="AI27" s="8">
        <f>SUM(D27:AH27)</f>
        <v>118</v>
      </c>
    </row>
    <row r="28" spans="1:38" ht="15" customHeight="1">
      <c r="A28" s="93" t="s">
        <v>16</v>
      </c>
      <c r="B28" s="93"/>
      <c r="C28" s="93"/>
      <c r="D28" s="1">
        <f>COUNTIF(D9:D23,"E")</f>
        <v>2</v>
      </c>
      <c r="E28" s="1">
        <f t="shared" ref="E28:AE28" si="9">COUNTIF(E9:E23,"E")</f>
        <v>3</v>
      </c>
      <c r="F28" s="1">
        <f t="shared" si="9"/>
        <v>3</v>
      </c>
      <c r="G28" s="1">
        <f t="shared" si="9"/>
        <v>3</v>
      </c>
      <c r="H28" s="1">
        <f t="shared" si="9"/>
        <v>3</v>
      </c>
      <c r="I28" s="1">
        <f t="shared" si="9"/>
        <v>3</v>
      </c>
      <c r="J28" s="1">
        <f t="shared" si="9"/>
        <v>2</v>
      </c>
      <c r="K28" s="1">
        <f t="shared" si="9"/>
        <v>2</v>
      </c>
      <c r="L28" s="1">
        <f t="shared" si="9"/>
        <v>3</v>
      </c>
      <c r="M28" s="1">
        <f t="shared" si="9"/>
        <v>3</v>
      </c>
      <c r="N28" s="1">
        <f t="shared" si="9"/>
        <v>3</v>
      </c>
      <c r="O28" s="1">
        <f t="shared" si="9"/>
        <v>3</v>
      </c>
      <c r="P28" s="1">
        <f t="shared" si="9"/>
        <v>3</v>
      </c>
      <c r="Q28" s="1">
        <f t="shared" si="9"/>
        <v>2</v>
      </c>
      <c r="R28" s="1">
        <f t="shared" si="9"/>
        <v>2</v>
      </c>
      <c r="S28" s="1">
        <f t="shared" si="9"/>
        <v>2</v>
      </c>
      <c r="T28" s="1">
        <f t="shared" si="9"/>
        <v>2</v>
      </c>
      <c r="U28" s="1">
        <f t="shared" si="9"/>
        <v>2</v>
      </c>
      <c r="V28" s="1">
        <f t="shared" si="9"/>
        <v>3</v>
      </c>
      <c r="W28" s="1">
        <f t="shared" si="9"/>
        <v>3</v>
      </c>
      <c r="X28" s="1">
        <f t="shared" si="9"/>
        <v>2</v>
      </c>
      <c r="Y28" s="1">
        <f t="shared" si="9"/>
        <v>2</v>
      </c>
      <c r="Z28" s="1">
        <f t="shared" si="9"/>
        <v>3</v>
      </c>
      <c r="AA28" s="1">
        <f t="shared" si="9"/>
        <v>3</v>
      </c>
      <c r="AB28" s="1">
        <f t="shared" si="9"/>
        <v>3</v>
      </c>
      <c r="AC28" s="1">
        <f t="shared" si="9"/>
        <v>3</v>
      </c>
      <c r="AD28" s="1">
        <f t="shared" si="9"/>
        <v>3</v>
      </c>
      <c r="AE28" s="1">
        <f t="shared" si="9"/>
        <v>2</v>
      </c>
      <c r="AF28" s="1"/>
      <c r="AG28" s="1"/>
      <c r="AH28" s="1"/>
      <c r="AI28" s="29">
        <f t="shared" ref="AI28:AI32" si="10">SUM(D28:AH28)</f>
        <v>73</v>
      </c>
    </row>
    <row r="29" spans="1:38" ht="15" customHeight="1">
      <c r="A29" s="93" t="s">
        <v>17</v>
      </c>
      <c r="B29" s="93"/>
      <c r="C29" s="93"/>
      <c r="D29" s="1">
        <f>COUNTIF(D9:D23,"N")</f>
        <v>2</v>
      </c>
      <c r="E29" s="1">
        <f t="shared" ref="E29:AE29" si="11">COUNTIF(E9:E23,"N")</f>
        <v>2</v>
      </c>
      <c r="F29" s="1">
        <f t="shared" si="11"/>
        <v>2</v>
      </c>
      <c r="G29" s="1">
        <f t="shared" si="11"/>
        <v>2</v>
      </c>
      <c r="H29" s="1">
        <f t="shared" si="11"/>
        <v>2</v>
      </c>
      <c r="I29" s="1">
        <f t="shared" si="11"/>
        <v>2</v>
      </c>
      <c r="J29" s="1">
        <f t="shared" si="11"/>
        <v>2</v>
      </c>
      <c r="K29" s="1">
        <f t="shared" si="11"/>
        <v>2</v>
      </c>
      <c r="L29" s="1">
        <f t="shared" si="11"/>
        <v>2</v>
      </c>
      <c r="M29" s="1">
        <f t="shared" si="11"/>
        <v>2</v>
      </c>
      <c r="N29" s="1">
        <f t="shared" si="11"/>
        <v>2</v>
      </c>
      <c r="O29" s="1">
        <f t="shared" si="11"/>
        <v>2</v>
      </c>
      <c r="P29" s="1">
        <f t="shared" si="11"/>
        <v>2</v>
      </c>
      <c r="Q29" s="1">
        <f t="shared" si="11"/>
        <v>2</v>
      </c>
      <c r="R29" s="1">
        <f t="shared" si="11"/>
        <v>2</v>
      </c>
      <c r="S29" s="1">
        <f t="shared" si="11"/>
        <v>2</v>
      </c>
      <c r="T29" s="1">
        <f t="shared" si="11"/>
        <v>2</v>
      </c>
      <c r="U29" s="1">
        <f t="shared" si="11"/>
        <v>2</v>
      </c>
      <c r="V29" s="1">
        <f t="shared" si="11"/>
        <v>2</v>
      </c>
      <c r="W29" s="1">
        <f t="shared" si="11"/>
        <v>2</v>
      </c>
      <c r="X29" s="1">
        <f t="shared" si="11"/>
        <v>2</v>
      </c>
      <c r="Y29" s="1">
        <f t="shared" si="11"/>
        <v>2</v>
      </c>
      <c r="Z29" s="1">
        <f t="shared" si="11"/>
        <v>2</v>
      </c>
      <c r="AA29" s="1">
        <f t="shared" si="11"/>
        <v>2</v>
      </c>
      <c r="AB29" s="1">
        <f t="shared" si="11"/>
        <v>2</v>
      </c>
      <c r="AC29" s="1">
        <f t="shared" si="11"/>
        <v>2</v>
      </c>
      <c r="AD29" s="1">
        <f t="shared" si="11"/>
        <v>2</v>
      </c>
      <c r="AE29" s="1">
        <f t="shared" si="11"/>
        <v>2</v>
      </c>
      <c r="AF29" s="1"/>
      <c r="AG29" s="1"/>
      <c r="AH29" s="1"/>
      <c r="AI29" s="29">
        <f t="shared" si="10"/>
        <v>56</v>
      </c>
    </row>
    <row r="30" spans="1:38" ht="15" customHeight="1">
      <c r="A30" s="93" t="s">
        <v>18</v>
      </c>
      <c r="B30" s="93"/>
      <c r="C30" s="93"/>
      <c r="D30" s="1">
        <f>COUNTIF(D9:D23,"T")</f>
        <v>0</v>
      </c>
      <c r="E30" s="1">
        <f t="shared" ref="E30:AE30" si="12">COUNTIF(E9:E23,"T")</f>
        <v>0</v>
      </c>
      <c r="F30" s="1">
        <f t="shared" si="12"/>
        <v>0</v>
      </c>
      <c r="G30" s="1">
        <f t="shared" si="12"/>
        <v>0</v>
      </c>
      <c r="H30" s="1">
        <f t="shared" si="12"/>
        <v>0</v>
      </c>
      <c r="I30" s="1">
        <f t="shared" si="12"/>
        <v>0</v>
      </c>
      <c r="J30" s="1">
        <f t="shared" si="12"/>
        <v>0</v>
      </c>
      <c r="K30" s="1">
        <f t="shared" si="12"/>
        <v>0</v>
      </c>
      <c r="L30" s="1">
        <f t="shared" si="12"/>
        <v>0</v>
      </c>
      <c r="M30" s="1">
        <f t="shared" si="12"/>
        <v>0</v>
      </c>
      <c r="N30" s="1">
        <f t="shared" si="12"/>
        <v>0</v>
      </c>
      <c r="O30" s="1">
        <f t="shared" si="12"/>
        <v>0</v>
      </c>
      <c r="P30" s="1">
        <f t="shared" si="12"/>
        <v>0</v>
      </c>
      <c r="Q30" s="1">
        <f t="shared" si="12"/>
        <v>0</v>
      </c>
      <c r="R30" s="1">
        <f t="shared" si="12"/>
        <v>0</v>
      </c>
      <c r="S30" s="1">
        <f t="shared" si="12"/>
        <v>0</v>
      </c>
      <c r="T30" s="1">
        <f t="shared" si="12"/>
        <v>0</v>
      </c>
      <c r="U30" s="1">
        <f t="shared" si="12"/>
        <v>0</v>
      </c>
      <c r="V30" s="1">
        <f t="shared" si="12"/>
        <v>0</v>
      </c>
      <c r="W30" s="1">
        <f t="shared" si="12"/>
        <v>0</v>
      </c>
      <c r="X30" s="1">
        <f t="shared" si="12"/>
        <v>0</v>
      </c>
      <c r="Y30" s="1">
        <f t="shared" si="12"/>
        <v>0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/>
      <c r="AG30" s="1"/>
      <c r="AH30" s="1"/>
      <c r="AI30" s="29">
        <f t="shared" si="10"/>
        <v>0</v>
      </c>
    </row>
    <row r="31" spans="1:38" ht="15" customHeight="1">
      <c r="A31" s="93" t="s">
        <v>19</v>
      </c>
      <c r="B31" s="93"/>
      <c r="C31" s="93"/>
      <c r="D31" s="1">
        <f>COUNTIF(D9:D22,"X")</f>
        <v>2</v>
      </c>
      <c r="E31" s="1">
        <f t="shared" ref="E31:AE31" si="13">COUNTIF(E9:E22,"X")</f>
        <v>3</v>
      </c>
      <c r="F31" s="1">
        <f t="shared" si="13"/>
        <v>1</v>
      </c>
      <c r="G31" s="1">
        <f t="shared" si="13"/>
        <v>4</v>
      </c>
      <c r="H31" s="1">
        <f t="shared" si="13"/>
        <v>0</v>
      </c>
      <c r="I31" s="1">
        <f t="shared" si="13"/>
        <v>0</v>
      </c>
      <c r="J31" s="1">
        <f t="shared" si="13"/>
        <v>5</v>
      </c>
      <c r="K31" s="1">
        <f t="shared" si="13"/>
        <v>0</v>
      </c>
      <c r="L31" s="1">
        <f t="shared" si="13"/>
        <v>3</v>
      </c>
      <c r="M31" s="1">
        <f t="shared" si="13"/>
        <v>0</v>
      </c>
      <c r="N31" s="1">
        <f t="shared" si="13"/>
        <v>2</v>
      </c>
      <c r="O31" s="1">
        <f t="shared" si="13"/>
        <v>2</v>
      </c>
      <c r="P31" s="1">
        <f t="shared" si="13"/>
        <v>0</v>
      </c>
      <c r="Q31" s="1">
        <f t="shared" si="13"/>
        <v>6</v>
      </c>
      <c r="R31" s="1">
        <f t="shared" si="13"/>
        <v>1</v>
      </c>
      <c r="S31" s="1">
        <f t="shared" si="13"/>
        <v>4</v>
      </c>
      <c r="T31" s="1">
        <f t="shared" si="13"/>
        <v>2</v>
      </c>
      <c r="U31" s="1">
        <f t="shared" si="13"/>
        <v>3</v>
      </c>
      <c r="V31" s="1">
        <f t="shared" si="13"/>
        <v>1</v>
      </c>
      <c r="W31" s="1">
        <f t="shared" si="13"/>
        <v>1</v>
      </c>
      <c r="X31" s="1">
        <f t="shared" si="13"/>
        <v>3</v>
      </c>
      <c r="Y31" s="1">
        <f t="shared" si="13"/>
        <v>0</v>
      </c>
      <c r="Z31" s="1">
        <f t="shared" si="13"/>
        <v>2</v>
      </c>
      <c r="AA31" s="1">
        <f t="shared" si="13"/>
        <v>4</v>
      </c>
      <c r="AB31" s="1">
        <f t="shared" si="13"/>
        <v>1</v>
      </c>
      <c r="AC31" s="1">
        <f t="shared" si="13"/>
        <v>4</v>
      </c>
      <c r="AD31" s="1">
        <f t="shared" si="13"/>
        <v>0</v>
      </c>
      <c r="AE31" s="1">
        <f t="shared" si="13"/>
        <v>3</v>
      </c>
      <c r="AF31" s="1"/>
      <c r="AG31" s="1"/>
      <c r="AH31" s="1"/>
      <c r="AI31" s="29">
        <f t="shared" si="10"/>
        <v>57</v>
      </c>
    </row>
    <row r="32" spans="1:38" ht="15" customHeight="1">
      <c r="A32" s="100" t="s">
        <v>75</v>
      </c>
      <c r="B32" s="100"/>
      <c r="C32" s="100"/>
      <c r="D32" s="1">
        <f>SUM(D30:D31)</f>
        <v>2</v>
      </c>
      <c r="E32" s="1">
        <f t="shared" ref="E32:AD32" si="14">SUM(E30:E31)</f>
        <v>3</v>
      </c>
      <c r="F32" s="1">
        <f t="shared" si="14"/>
        <v>1</v>
      </c>
      <c r="G32" s="1">
        <f t="shared" si="14"/>
        <v>4</v>
      </c>
      <c r="H32" s="1">
        <f t="shared" si="14"/>
        <v>0</v>
      </c>
      <c r="I32" s="1">
        <f t="shared" si="14"/>
        <v>0</v>
      </c>
      <c r="J32" s="1">
        <f t="shared" si="14"/>
        <v>5</v>
      </c>
      <c r="K32" s="1">
        <f t="shared" si="14"/>
        <v>0</v>
      </c>
      <c r="L32" s="1">
        <f t="shared" si="14"/>
        <v>3</v>
      </c>
      <c r="M32" s="1">
        <f t="shared" si="14"/>
        <v>0</v>
      </c>
      <c r="N32" s="1">
        <f t="shared" si="14"/>
        <v>2</v>
      </c>
      <c r="O32" s="1">
        <f t="shared" si="14"/>
        <v>2</v>
      </c>
      <c r="P32" s="1">
        <f t="shared" si="14"/>
        <v>0</v>
      </c>
      <c r="Q32" s="1">
        <f t="shared" si="14"/>
        <v>6</v>
      </c>
      <c r="R32" s="1">
        <f t="shared" si="14"/>
        <v>1</v>
      </c>
      <c r="S32" s="1">
        <f t="shared" si="14"/>
        <v>4</v>
      </c>
      <c r="T32" s="1">
        <f t="shared" si="14"/>
        <v>2</v>
      </c>
      <c r="U32" s="1">
        <f t="shared" si="14"/>
        <v>3</v>
      </c>
      <c r="V32" s="1">
        <f t="shared" si="14"/>
        <v>1</v>
      </c>
      <c r="W32" s="1">
        <f t="shared" si="14"/>
        <v>1</v>
      </c>
      <c r="X32" s="1">
        <f t="shared" si="14"/>
        <v>3</v>
      </c>
      <c r="Y32" s="1">
        <f t="shared" si="14"/>
        <v>0</v>
      </c>
      <c r="Z32" s="1">
        <f t="shared" si="14"/>
        <v>2</v>
      </c>
      <c r="AA32" s="1">
        <f t="shared" si="14"/>
        <v>4</v>
      </c>
      <c r="AB32" s="1">
        <f t="shared" si="14"/>
        <v>1</v>
      </c>
      <c r="AC32" s="1">
        <f t="shared" si="14"/>
        <v>4</v>
      </c>
      <c r="AD32" s="1">
        <f t="shared" si="14"/>
        <v>0</v>
      </c>
      <c r="AE32" s="1">
        <f>SUM(AE30:AE31)</f>
        <v>3</v>
      </c>
      <c r="AF32" s="1"/>
      <c r="AG32" s="1"/>
      <c r="AH32" s="1"/>
      <c r="AI32" s="29">
        <f t="shared" si="10"/>
        <v>57</v>
      </c>
    </row>
  </sheetData>
  <mergeCells count="21">
    <mergeCell ref="A1:AE1"/>
    <mergeCell ref="A6:C6"/>
    <mergeCell ref="D6:AE6"/>
    <mergeCell ref="AF6:AL6"/>
    <mergeCell ref="A26:C26"/>
    <mergeCell ref="AF7:AF8"/>
    <mergeCell ref="AG7:AG8"/>
    <mergeCell ref="AH7:AH8"/>
    <mergeCell ref="AI7:AI8"/>
    <mergeCell ref="AJ7:AJ8"/>
    <mergeCell ref="AK7:AK8"/>
    <mergeCell ref="AL7:AL8"/>
    <mergeCell ref="A30:C30"/>
    <mergeCell ref="A31:C31"/>
    <mergeCell ref="A32:C32"/>
    <mergeCell ref="A7:A8"/>
    <mergeCell ref="B7:B8"/>
    <mergeCell ref="C7:C8"/>
    <mergeCell ref="A27:C27"/>
    <mergeCell ref="A28:C28"/>
    <mergeCell ref="A29:C29"/>
  </mergeCells>
  <phoneticPr fontId="10" type="noConversion"/>
  <pageMargins left="0.75" right="0.75" top="1" bottom="1" header="0.511811023622047" footer="0.511811023622047"/>
  <pageSetup paperSize="9" scale="98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tabSelected="1" topLeftCell="A11" workbookViewId="0">
      <selection activeCell="D33" sqref="D33"/>
    </sheetView>
  </sheetViews>
  <sheetFormatPr defaultColWidth="8.5" defaultRowHeight="17.399999999999999"/>
  <cols>
    <col min="1" max="1" width="11" customWidth="1"/>
    <col min="2" max="2" width="7" customWidth="1"/>
    <col min="3" max="3" width="4" customWidth="1"/>
    <col min="4" max="30" width="3.5" customWidth="1"/>
    <col min="31" max="31" width="5.19921875" bestFit="1" customWidth="1"/>
    <col min="32" max="34" width="5.19921875" customWidth="1"/>
    <col min="35" max="37" width="7.5" bestFit="1" customWidth="1"/>
    <col min="38" max="38" width="5.19921875" bestFit="1" customWidth="1"/>
    <col min="39" max="39" width="3.5" customWidth="1"/>
    <col min="40" max="40" width="5.09765625" bestFit="1" customWidth="1"/>
    <col min="42" max="42" width="21.19921875" customWidth="1"/>
  </cols>
  <sheetData>
    <row r="1" spans="1:42" ht="30">
      <c r="A1" s="103" t="s">
        <v>151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45"/>
      <c r="AG1" s="45"/>
      <c r="AH1" s="45"/>
      <c r="AI1" s="1" t="s">
        <v>1</v>
      </c>
      <c r="AJ1" s="1" t="s">
        <v>2</v>
      </c>
      <c r="AK1" s="1" t="s">
        <v>3</v>
      </c>
    </row>
    <row r="2" spans="1:42" ht="15" customHeight="1">
      <c r="AI2" s="2"/>
      <c r="AJ2" s="2"/>
      <c r="AK2" s="2"/>
    </row>
    <row r="3" spans="1:42" ht="15" customHeight="1">
      <c r="A3" s="3" t="s">
        <v>4</v>
      </c>
      <c r="D3" s="3" t="s">
        <v>5</v>
      </c>
      <c r="AI3" s="2"/>
      <c r="AJ3" s="2"/>
      <c r="AK3" s="2"/>
    </row>
    <row r="4" spans="1:42" ht="15" customHeight="1">
      <c r="A4" s="3" t="s">
        <v>6</v>
      </c>
      <c r="B4" t="s">
        <v>7</v>
      </c>
      <c r="D4" s="3" t="s">
        <v>8</v>
      </c>
    </row>
    <row r="5" spans="1:42" ht="15" customHeight="1"/>
    <row r="6" spans="1:42" ht="15" customHeight="1">
      <c r="A6" s="95" t="s">
        <v>9</v>
      </c>
      <c r="B6" s="95"/>
      <c r="C6" s="95"/>
      <c r="D6" s="95" t="s">
        <v>10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43"/>
      <c r="AG6" s="43"/>
      <c r="AH6" s="43"/>
      <c r="AI6" s="97" t="s">
        <v>11</v>
      </c>
      <c r="AJ6" s="98"/>
      <c r="AK6" s="98"/>
      <c r="AL6" s="98"/>
      <c r="AM6" s="98"/>
      <c r="AN6" s="98"/>
      <c r="AO6" s="99"/>
      <c r="AP6" s="73" t="s">
        <v>154</v>
      </c>
    </row>
    <row r="7" spans="1:42" ht="15" customHeight="1">
      <c r="A7" s="101" t="s">
        <v>12</v>
      </c>
      <c r="B7" s="101" t="s">
        <v>13</v>
      </c>
      <c r="C7" s="101" t="s">
        <v>14</v>
      </c>
      <c r="D7" s="30">
        <v>1</v>
      </c>
      <c r="E7" s="54">
        <v>2</v>
      </c>
      <c r="F7" s="1">
        <v>3</v>
      </c>
      <c r="G7" s="1">
        <v>4</v>
      </c>
      <c r="H7" s="1">
        <v>5</v>
      </c>
      <c r="I7" s="1">
        <v>6</v>
      </c>
      <c r="J7" s="30">
        <v>7</v>
      </c>
      <c r="K7" s="30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30">
        <v>14</v>
      </c>
      <c r="R7" s="30">
        <v>15</v>
      </c>
      <c r="S7" s="41">
        <v>16</v>
      </c>
      <c r="T7" s="41">
        <v>17</v>
      </c>
      <c r="U7" s="41">
        <v>18</v>
      </c>
      <c r="V7" s="1">
        <v>19</v>
      </c>
      <c r="W7" s="1">
        <v>20</v>
      </c>
      <c r="X7" s="30">
        <v>21</v>
      </c>
      <c r="Y7" s="30">
        <v>22</v>
      </c>
      <c r="Z7" s="1">
        <v>23</v>
      </c>
      <c r="AA7" s="1">
        <v>24</v>
      </c>
      <c r="AB7" s="1">
        <v>25</v>
      </c>
      <c r="AC7" s="1">
        <v>26</v>
      </c>
      <c r="AD7" s="1">
        <v>27</v>
      </c>
      <c r="AE7" s="30">
        <v>28</v>
      </c>
      <c r="AF7" s="61">
        <v>29</v>
      </c>
      <c r="AG7" s="64">
        <v>30</v>
      </c>
      <c r="AH7" s="64">
        <v>31</v>
      </c>
      <c r="AI7" s="104" t="s">
        <v>15</v>
      </c>
      <c r="AJ7" s="104" t="s">
        <v>16</v>
      </c>
      <c r="AK7" s="104" t="s">
        <v>17</v>
      </c>
      <c r="AL7" s="104" t="s">
        <v>18</v>
      </c>
      <c r="AM7" s="104" t="s">
        <v>19</v>
      </c>
      <c r="AN7" s="104" t="s">
        <v>20</v>
      </c>
      <c r="AO7" s="106" t="s">
        <v>74</v>
      </c>
      <c r="AP7" s="100"/>
    </row>
    <row r="8" spans="1:42" ht="15" customHeight="1">
      <c r="A8" s="102"/>
      <c r="B8" s="102"/>
      <c r="C8" s="102"/>
      <c r="D8" s="32" t="s">
        <v>21</v>
      </c>
      <c r="E8" s="54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31" t="s">
        <v>27</v>
      </c>
      <c r="K8" s="32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31" t="s">
        <v>27</v>
      </c>
      <c r="R8" s="32" t="s">
        <v>21</v>
      </c>
      <c r="S8" s="41" t="s">
        <v>22</v>
      </c>
      <c r="T8" s="41" t="s">
        <v>23</v>
      </c>
      <c r="U8" s="41" t="s">
        <v>24</v>
      </c>
      <c r="V8" s="1" t="s">
        <v>25</v>
      </c>
      <c r="W8" s="1" t="s">
        <v>26</v>
      </c>
      <c r="X8" s="31" t="s">
        <v>27</v>
      </c>
      <c r="Y8" s="32" t="s">
        <v>21</v>
      </c>
      <c r="Z8" s="1" t="s">
        <v>22</v>
      </c>
      <c r="AA8" s="1" t="s">
        <v>23</v>
      </c>
      <c r="AB8" s="1" t="s">
        <v>24</v>
      </c>
      <c r="AC8" s="1" t="s">
        <v>25</v>
      </c>
      <c r="AD8" s="1" t="s">
        <v>26</v>
      </c>
      <c r="AE8" s="31" t="s">
        <v>27</v>
      </c>
      <c r="AF8" s="74" t="s">
        <v>107</v>
      </c>
      <c r="AG8" s="1" t="s">
        <v>22</v>
      </c>
      <c r="AH8" s="1" t="s">
        <v>23</v>
      </c>
      <c r="AI8" s="105"/>
      <c r="AJ8" s="105"/>
      <c r="AK8" s="105"/>
      <c r="AL8" s="105"/>
      <c r="AM8" s="105"/>
      <c r="AN8" s="105"/>
      <c r="AO8" s="107"/>
      <c r="AP8" s="100"/>
    </row>
    <row r="9" spans="1:42" ht="15" customHeight="1">
      <c r="A9" s="44" t="s">
        <v>28</v>
      </c>
      <c r="B9" s="42" t="s">
        <v>72</v>
      </c>
      <c r="C9" s="44" t="s">
        <v>29</v>
      </c>
      <c r="D9" s="33" t="s">
        <v>105</v>
      </c>
      <c r="E9" s="55" t="s">
        <v>123</v>
      </c>
      <c r="F9" s="10" t="s">
        <v>132</v>
      </c>
      <c r="G9" s="10" t="s">
        <v>101</v>
      </c>
      <c r="H9" s="10" t="s">
        <v>132</v>
      </c>
      <c r="I9" s="58" t="s">
        <v>95</v>
      </c>
      <c r="J9" s="33" t="s">
        <v>121</v>
      </c>
      <c r="K9" s="33" t="s">
        <v>141</v>
      </c>
      <c r="L9" s="10" t="s">
        <v>122</v>
      </c>
      <c r="M9" s="10" t="s">
        <v>101</v>
      </c>
      <c r="N9" s="58" t="s">
        <v>94</v>
      </c>
      <c r="O9" s="58" t="s">
        <v>96</v>
      </c>
      <c r="P9" s="10" t="s">
        <v>101</v>
      </c>
      <c r="Q9" s="33" t="s">
        <v>102</v>
      </c>
      <c r="R9" s="33" t="s">
        <v>103</v>
      </c>
      <c r="S9" s="57" t="s">
        <v>97</v>
      </c>
      <c r="T9" s="24"/>
      <c r="U9" s="24"/>
      <c r="V9" s="10"/>
      <c r="W9" s="10"/>
      <c r="X9" s="33" t="s">
        <v>104</v>
      </c>
      <c r="Y9" s="33" t="s">
        <v>112</v>
      </c>
      <c r="Z9" s="10"/>
      <c r="AA9" s="10"/>
      <c r="AB9" s="10"/>
      <c r="AC9" s="10"/>
      <c r="AD9" s="58" t="s">
        <v>98</v>
      </c>
      <c r="AE9" s="33" t="s">
        <v>130</v>
      </c>
      <c r="AF9" s="33" t="s">
        <v>143</v>
      </c>
      <c r="AG9" s="24"/>
      <c r="AH9" s="24"/>
      <c r="AI9" s="18">
        <f>COUNTIF(D9:AH9,"D")</f>
        <v>6</v>
      </c>
      <c r="AJ9" s="18">
        <f>COUNTIF(D9:AH9,"E")</f>
        <v>0</v>
      </c>
      <c r="AK9" s="18">
        <f>COUNTIF(D9:AH9,"N")</f>
        <v>0</v>
      </c>
      <c r="AL9" s="18">
        <f>COUNTIF(D9:AH9,"T")</f>
        <v>0</v>
      </c>
      <c r="AM9" s="18">
        <f>COUNTIF(D9:AH9,"X")</f>
        <v>4</v>
      </c>
      <c r="AN9" s="18">
        <f>31-AI9-AJ9-AK9-AL9-AM9</f>
        <v>21</v>
      </c>
      <c r="AO9" s="2">
        <f>SUM(AM9:AN9)</f>
        <v>25</v>
      </c>
      <c r="AP9" s="2"/>
    </row>
    <row r="10" spans="1:42" ht="15" customHeight="1">
      <c r="A10" s="44" t="s">
        <v>34</v>
      </c>
      <c r="B10" s="42" t="s">
        <v>35</v>
      </c>
      <c r="C10" s="44" t="s">
        <v>36</v>
      </c>
      <c r="D10" s="33" t="s">
        <v>103</v>
      </c>
      <c r="E10" s="55" t="s">
        <v>123</v>
      </c>
      <c r="F10" s="58" t="s">
        <v>96</v>
      </c>
      <c r="G10" s="22" t="s">
        <v>133</v>
      </c>
      <c r="H10" s="22" t="s">
        <v>134</v>
      </c>
      <c r="I10" s="24" t="s">
        <v>132</v>
      </c>
      <c r="J10" s="33" t="s">
        <v>140</v>
      </c>
      <c r="K10" s="33" t="s">
        <v>114</v>
      </c>
      <c r="L10" s="57" t="s">
        <v>101</v>
      </c>
      <c r="M10" s="24"/>
      <c r="N10" s="24"/>
      <c r="O10" s="24"/>
      <c r="P10" s="57" t="s">
        <v>100</v>
      </c>
      <c r="Q10" s="33" t="s">
        <v>142</v>
      </c>
      <c r="R10" s="33" t="s">
        <v>114</v>
      </c>
      <c r="S10" s="24"/>
      <c r="T10" s="24"/>
      <c r="U10" s="57" t="s">
        <v>93</v>
      </c>
      <c r="V10" s="24"/>
      <c r="W10" s="24"/>
      <c r="X10" s="33" t="s">
        <v>104</v>
      </c>
      <c r="Y10" s="33" t="s">
        <v>105</v>
      </c>
      <c r="Z10" s="57" t="s">
        <v>93</v>
      </c>
      <c r="AA10" s="24"/>
      <c r="AB10" s="24"/>
      <c r="AC10" s="24"/>
      <c r="AD10" s="24"/>
      <c r="AE10" s="33" t="s">
        <v>121</v>
      </c>
      <c r="AF10" s="33" t="s">
        <v>112</v>
      </c>
      <c r="AG10" s="24"/>
      <c r="AH10" s="24"/>
      <c r="AI10" s="18">
        <f t="shared" ref="AI10:AI24" si="0">COUNTIF(D10:AH10,"D")</f>
        <v>4</v>
      </c>
      <c r="AJ10" s="18">
        <f t="shared" ref="AJ10:AJ24" si="1">COUNTIF(D10:AH10,"E")</f>
        <v>0</v>
      </c>
      <c r="AK10" s="18">
        <f t="shared" ref="AK10:AK24" si="2">COUNTIF(D10:AH10,"N")</f>
        <v>0</v>
      </c>
      <c r="AL10" s="18">
        <f t="shared" ref="AL10:AL24" si="3">COUNTIF(D10:AH10,"T")</f>
        <v>0</v>
      </c>
      <c r="AM10" s="18">
        <f t="shared" ref="AM10:AM24" si="4">COUNTIF(D10:AH10,"X")</f>
        <v>4</v>
      </c>
      <c r="AN10" s="18">
        <f t="shared" ref="AN10:AN24" si="5">31-AI10-AJ10-AK10-AL10-AM10</f>
        <v>23</v>
      </c>
      <c r="AO10" s="2">
        <f t="shared" ref="AO10:AO24" si="6">SUM(AM10:AN10)</f>
        <v>27</v>
      </c>
      <c r="AP10" s="2"/>
    </row>
    <row r="11" spans="1:42" ht="15" customHeight="1">
      <c r="A11" s="44" t="s">
        <v>39</v>
      </c>
      <c r="B11" s="42" t="s">
        <v>40</v>
      </c>
      <c r="C11" s="44" t="s">
        <v>41</v>
      </c>
      <c r="D11" s="33" t="s">
        <v>111</v>
      </c>
      <c r="E11" s="72" t="s">
        <v>133</v>
      </c>
      <c r="F11" s="10" t="s">
        <v>122</v>
      </c>
      <c r="G11" s="58" t="s">
        <v>99</v>
      </c>
      <c r="H11" s="22"/>
      <c r="I11" s="22"/>
      <c r="J11" s="60" t="s">
        <v>102</v>
      </c>
      <c r="K11" s="59" t="s">
        <v>103</v>
      </c>
      <c r="L11" s="24"/>
      <c r="M11" s="24" t="s">
        <v>127</v>
      </c>
      <c r="N11" s="24" t="s">
        <v>127</v>
      </c>
      <c r="O11" s="24" t="s">
        <v>104</v>
      </c>
      <c r="P11" s="24" t="s">
        <v>103</v>
      </c>
      <c r="Q11" s="33"/>
      <c r="R11" s="33"/>
      <c r="S11" s="24"/>
      <c r="T11" s="24"/>
      <c r="U11" s="24"/>
      <c r="V11" s="24"/>
      <c r="W11" s="24"/>
      <c r="X11" s="59" t="s">
        <v>104</v>
      </c>
      <c r="Y11" s="60" t="s">
        <v>105</v>
      </c>
      <c r="Z11" s="24"/>
      <c r="AA11" s="24" t="s">
        <v>117</v>
      </c>
      <c r="AB11" s="24" t="s">
        <v>128</v>
      </c>
      <c r="AC11" s="24" t="s">
        <v>121</v>
      </c>
      <c r="AD11" s="24" t="s">
        <v>114</v>
      </c>
      <c r="AE11" s="33"/>
      <c r="AF11" s="33"/>
      <c r="AG11" s="24"/>
      <c r="AH11" s="24"/>
      <c r="AI11" s="18">
        <f t="shared" si="0"/>
        <v>3</v>
      </c>
      <c r="AJ11" s="18">
        <f t="shared" si="1"/>
        <v>0</v>
      </c>
      <c r="AK11" s="18">
        <f t="shared" si="2"/>
        <v>4</v>
      </c>
      <c r="AL11" s="18">
        <f t="shared" si="3"/>
        <v>0</v>
      </c>
      <c r="AM11" s="18">
        <f t="shared" si="4"/>
        <v>4</v>
      </c>
      <c r="AN11" s="18">
        <f t="shared" si="5"/>
        <v>20</v>
      </c>
      <c r="AO11" s="2">
        <f t="shared" si="6"/>
        <v>24</v>
      </c>
      <c r="AP11" s="2"/>
    </row>
    <row r="12" spans="1:42" ht="15" customHeight="1">
      <c r="A12" s="44" t="s">
        <v>44</v>
      </c>
      <c r="B12" s="42" t="s">
        <v>45</v>
      </c>
      <c r="C12" s="44" t="s">
        <v>41</v>
      </c>
      <c r="D12" s="60" t="s">
        <v>106</v>
      </c>
      <c r="E12" s="37" t="s">
        <v>124</v>
      </c>
      <c r="F12" s="10" t="s">
        <v>125</v>
      </c>
      <c r="G12" s="10" t="s">
        <v>104</v>
      </c>
      <c r="H12" s="22" t="s">
        <v>126</v>
      </c>
      <c r="I12" s="22"/>
      <c r="J12" s="33"/>
      <c r="K12" s="33"/>
      <c r="L12" s="24"/>
      <c r="M12" s="24"/>
      <c r="N12" s="24"/>
      <c r="O12" s="24"/>
      <c r="P12" s="22"/>
      <c r="Q12" s="33"/>
      <c r="R12" s="33"/>
      <c r="S12" s="22" t="s">
        <v>127</v>
      </c>
      <c r="T12" s="24" t="s">
        <v>128</v>
      </c>
      <c r="U12" s="22" t="s">
        <v>104</v>
      </c>
      <c r="V12" s="24" t="s">
        <v>114</v>
      </c>
      <c r="W12" s="24"/>
      <c r="X12" s="33"/>
      <c r="Y12" s="33"/>
      <c r="Z12" s="24"/>
      <c r="AA12" s="24"/>
      <c r="AB12" s="70" t="s">
        <v>111</v>
      </c>
      <c r="AC12" s="57" t="s">
        <v>104</v>
      </c>
      <c r="AD12" s="57" t="s">
        <v>105</v>
      </c>
      <c r="AE12" s="60" t="s">
        <v>108</v>
      </c>
      <c r="AF12" s="60" t="s">
        <v>109</v>
      </c>
      <c r="AG12" s="57" t="s">
        <v>110</v>
      </c>
      <c r="AH12" s="24" t="s">
        <v>125</v>
      </c>
      <c r="AI12" s="18">
        <f t="shared" si="0"/>
        <v>1</v>
      </c>
      <c r="AJ12" s="18">
        <f t="shared" si="1"/>
        <v>0</v>
      </c>
      <c r="AK12" s="18">
        <f t="shared" si="2"/>
        <v>5</v>
      </c>
      <c r="AL12" s="18">
        <f t="shared" si="3"/>
        <v>0</v>
      </c>
      <c r="AM12" s="18">
        <f t="shared" si="4"/>
        <v>3</v>
      </c>
      <c r="AN12" s="18">
        <f t="shared" si="5"/>
        <v>22</v>
      </c>
      <c r="AO12" s="2">
        <f t="shared" si="6"/>
        <v>25</v>
      </c>
      <c r="AP12" s="2"/>
    </row>
    <row r="13" spans="1:42" ht="15" customHeight="1">
      <c r="A13" s="44" t="s">
        <v>46</v>
      </c>
      <c r="B13" s="42" t="s">
        <v>47</v>
      </c>
      <c r="C13" s="44" t="s">
        <v>41</v>
      </c>
      <c r="D13" s="60" t="s">
        <v>112</v>
      </c>
      <c r="E13" s="72" t="s">
        <v>120</v>
      </c>
      <c r="F13" s="23" t="s">
        <v>126</v>
      </c>
      <c r="G13" s="10"/>
      <c r="H13" s="23"/>
      <c r="I13" s="24" t="s">
        <v>117</v>
      </c>
      <c r="J13" s="33" t="s">
        <v>127</v>
      </c>
      <c r="K13" s="33" t="s">
        <v>130</v>
      </c>
      <c r="L13" s="23" t="s">
        <v>130</v>
      </c>
      <c r="M13" s="23" t="s">
        <v>133</v>
      </c>
      <c r="N13" s="22"/>
      <c r="O13" s="23" t="s">
        <v>132</v>
      </c>
      <c r="P13" s="22"/>
      <c r="Q13" s="34"/>
      <c r="R13" s="34"/>
      <c r="S13" s="23"/>
      <c r="T13" s="23"/>
      <c r="U13" s="24"/>
      <c r="V13" s="23"/>
      <c r="W13" s="24" t="s">
        <v>117</v>
      </c>
      <c r="X13" s="33" t="s">
        <v>145</v>
      </c>
      <c r="Y13" s="33" t="s">
        <v>104</v>
      </c>
      <c r="Z13" s="23" t="s">
        <v>126</v>
      </c>
      <c r="AA13" s="23"/>
      <c r="AB13" s="24"/>
      <c r="AC13" s="23"/>
      <c r="AD13" s="24"/>
      <c r="AE13" s="33" t="s">
        <v>117</v>
      </c>
      <c r="AF13" s="33" t="s">
        <v>117</v>
      </c>
      <c r="AG13" s="23" t="s">
        <v>104</v>
      </c>
      <c r="AH13" s="23" t="s">
        <v>112</v>
      </c>
      <c r="AI13" s="18">
        <f t="shared" si="0"/>
        <v>2</v>
      </c>
      <c r="AJ13" s="18">
        <f t="shared" si="1"/>
        <v>1</v>
      </c>
      <c r="AK13" s="18">
        <f t="shared" si="2"/>
        <v>6</v>
      </c>
      <c r="AL13" s="18">
        <f t="shared" si="3"/>
        <v>0</v>
      </c>
      <c r="AM13" s="18">
        <f t="shared" si="4"/>
        <v>4</v>
      </c>
      <c r="AN13" s="18">
        <f t="shared" si="5"/>
        <v>18</v>
      </c>
      <c r="AO13" s="2">
        <f t="shared" si="6"/>
        <v>22</v>
      </c>
      <c r="AP13" s="2"/>
    </row>
    <row r="14" spans="1:42" ht="15" customHeight="1">
      <c r="A14" s="47" t="s">
        <v>48</v>
      </c>
      <c r="B14" s="50" t="s">
        <v>78</v>
      </c>
      <c r="C14" s="47" t="s">
        <v>41</v>
      </c>
      <c r="D14" s="35"/>
      <c r="E14" s="56"/>
      <c r="F14" s="66" t="s">
        <v>113</v>
      </c>
      <c r="G14" s="49" t="s">
        <v>117</v>
      </c>
      <c r="H14" s="49" t="s">
        <v>117</v>
      </c>
      <c r="I14" s="49" t="s">
        <v>104</v>
      </c>
      <c r="J14" s="35" t="s">
        <v>114</v>
      </c>
      <c r="K14" s="35"/>
      <c r="L14" s="49"/>
      <c r="M14" s="49"/>
      <c r="N14" s="67" t="s">
        <v>102</v>
      </c>
      <c r="O14" s="66" t="s">
        <v>114</v>
      </c>
      <c r="P14" s="22"/>
      <c r="Q14" s="34" t="s">
        <v>117</v>
      </c>
      <c r="R14" s="35" t="s">
        <v>144</v>
      </c>
      <c r="S14" s="66" t="s">
        <v>104</v>
      </c>
      <c r="T14" s="66" t="s">
        <v>105</v>
      </c>
      <c r="U14" s="66" t="s">
        <v>96</v>
      </c>
      <c r="V14" s="66" t="s">
        <v>109</v>
      </c>
      <c r="W14" s="49"/>
      <c r="X14" s="35"/>
      <c r="Y14" s="35" t="s">
        <v>117</v>
      </c>
      <c r="Z14" s="49" t="s">
        <v>147</v>
      </c>
      <c r="AA14" s="49" t="s">
        <v>148</v>
      </c>
      <c r="AB14" s="66" t="s">
        <v>115</v>
      </c>
      <c r="AC14" s="66" t="s">
        <v>114</v>
      </c>
      <c r="AD14" s="49"/>
      <c r="AE14" s="35"/>
      <c r="AF14" s="35"/>
      <c r="AG14" s="49"/>
      <c r="AH14" s="49"/>
      <c r="AI14" s="18">
        <f t="shared" si="0"/>
        <v>1</v>
      </c>
      <c r="AJ14" s="18">
        <f t="shared" si="1"/>
        <v>0</v>
      </c>
      <c r="AK14" s="18">
        <f t="shared" si="2"/>
        <v>6</v>
      </c>
      <c r="AL14" s="18">
        <f t="shared" si="3"/>
        <v>0</v>
      </c>
      <c r="AM14" s="18">
        <f t="shared" si="4"/>
        <v>4</v>
      </c>
      <c r="AN14" s="18">
        <f t="shared" si="5"/>
        <v>20</v>
      </c>
      <c r="AO14" s="2">
        <f t="shared" si="6"/>
        <v>24</v>
      </c>
      <c r="AP14" s="2"/>
    </row>
    <row r="15" spans="1:42" ht="15" customHeight="1">
      <c r="A15" s="47" t="s">
        <v>53</v>
      </c>
      <c r="B15" s="48" t="s">
        <v>54</v>
      </c>
      <c r="C15" s="47" t="s">
        <v>41</v>
      </c>
      <c r="D15" s="68" t="s">
        <v>120</v>
      </c>
      <c r="E15" s="56" t="s">
        <v>121</v>
      </c>
      <c r="F15" s="49"/>
      <c r="G15" s="49"/>
      <c r="H15" s="49"/>
      <c r="I15" s="22"/>
      <c r="J15" s="35"/>
      <c r="K15" s="34" t="s">
        <v>117</v>
      </c>
      <c r="L15" s="22" t="s">
        <v>117</v>
      </c>
      <c r="M15" s="49" t="s">
        <v>104</v>
      </c>
      <c r="N15" s="49" t="s">
        <v>126</v>
      </c>
      <c r="O15" s="66" t="s">
        <v>122</v>
      </c>
      <c r="P15" s="49"/>
      <c r="Q15" s="35"/>
      <c r="R15" s="35"/>
      <c r="S15" s="49"/>
      <c r="T15" s="49"/>
      <c r="U15" s="49" t="s">
        <v>117</v>
      </c>
      <c r="V15" s="49" t="s">
        <v>117</v>
      </c>
      <c r="W15" s="49" t="s">
        <v>104</v>
      </c>
      <c r="X15" s="35" t="s">
        <v>105</v>
      </c>
      <c r="Y15" s="35"/>
      <c r="Z15" s="49"/>
      <c r="AA15" s="49"/>
      <c r="AB15" s="49"/>
      <c r="AC15" s="51"/>
      <c r="AD15" s="49"/>
      <c r="AE15" s="35"/>
      <c r="AF15" s="35"/>
      <c r="AG15" s="49" t="s">
        <v>127</v>
      </c>
      <c r="AH15" s="49" t="s">
        <v>117</v>
      </c>
      <c r="AI15" s="18">
        <f t="shared" si="0"/>
        <v>1</v>
      </c>
      <c r="AJ15" s="18">
        <f t="shared" si="1"/>
        <v>1</v>
      </c>
      <c r="AK15" s="18">
        <f t="shared" si="2"/>
        <v>6</v>
      </c>
      <c r="AL15" s="18">
        <f t="shared" si="3"/>
        <v>0</v>
      </c>
      <c r="AM15" s="18">
        <f t="shared" si="4"/>
        <v>3</v>
      </c>
      <c r="AN15" s="18">
        <f t="shared" si="5"/>
        <v>20</v>
      </c>
      <c r="AO15" s="2">
        <f t="shared" si="6"/>
        <v>23</v>
      </c>
      <c r="AP15" s="2"/>
    </row>
    <row r="16" spans="1:42" ht="15" customHeight="1">
      <c r="A16" s="47" t="s">
        <v>55</v>
      </c>
      <c r="B16" s="50" t="s">
        <v>77</v>
      </c>
      <c r="C16" s="47" t="s">
        <v>41</v>
      </c>
      <c r="D16" s="68" t="s">
        <v>114</v>
      </c>
      <c r="E16" s="56"/>
      <c r="F16" s="49"/>
      <c r="G16" s="49"/>
      <c r="H16" s="49"/>
      <c r="I16" s="49"/>
      <c r="J16" s="35"/>
      <c r="K16" s="35"/>
      <c r="L16" s="49"/>
      <c r="M16" s="49"/>
      <c r="N16" s="49"/>
      <c r="O16" s="49" t="s">
        <v>117</v>
      </c>
      <c r="P16" s="49" t="s">
        <v>117</v>
      </c>
      <c r="Q16" s="35" t="s">
        <v>104</v>
      </c>
      <c r="R16" s="35" t="s">
        <v>112</v>
      </c>
      <c r="S16" s="49"/>
      <c r="T16" s="49"/>
      <c r="U16" s="49"/>
      <c r="V16" s="49"/>
      <c r="W16" s="22"/>
      <c r="X16" s="35"/>
      <c r="Y16" s="35"/>
      <c r="Z16" s="49"/>
      <c r="AA16" s="22"/>
      <c r="AB16" s="49"/>
      <c r="AC16" s="49" t="s">
        <v>138</v>
      </c>
      <c r="AD16" s="49" t="s">
        <v>117</v>
      </c>
      <c r="AE16" s="35" t="s">
        <v>104</v>
      </c>
      <c r="AF16" s="35" t="s">
        <v>103</v>
      </c>
      <c r="AG16" s="49"/>
      <c r="AH16" s="49"/>
      <c r="AI16" s="18">
        <f t="shared" si="0"/>
        <v>0</v>
      </c>
      <c r="AJ16" s="18">
        <f t="shared" si="1"/>
        <v>0</v>
      </c>
      <c r="AK16" s="18">
        <f t="shared" si="2"/>
        <v>4</v>
      </c>
      <c r="AL16" s="18">
        <f t="shared" si="3"/>
        <v>0</v>
      </c>
      <c r="AM16" s="18">
        <f t="shared" si="4"/>
        <v>2</v>
      </c>
      <c r="AN16" s="18">
        <f t="shared" si="5"/>
        <v>25</v>
      </c>
      <c r="AO16" s="2">
        <f t="shared" si="6"/>
        <v>27</v>
      </c>
      <c r="AP16" s="2"/>
    </row>
    <row r="17" spans="1:42" ht="15" customHeight="1">
      <c r="A17" s="47" t="s">
        <v>57</v>
      </c>
      <c r="B17" s="48" t="s">
        <v>58</v>
      </c>
      <c r="C17" s="47" t="s">
        <v>41</v>
      </c>
      <c r="D17" s="68" t="s">
        <v>117</v>
      </c>
      <c r="E17" s="56" t="s">
        <v>104</v>
      </c>
      <c r="F17" s="66" t="s">
        <v>103</v>
      </c>
      <c r="G17" s="49"/>
      <c r="H17" s="49"/>
      <c r="I17" s="49"/>
      <c r="J17" s="35"/>
      <c r="K17" s="35"/>
      <c r="L17" s="49"/>
      <c r="M17" s="49"/>
      <c r="N17" s="49"/>
      <c r="O17" s="49"/>
      <c r="P17" s="69" t="s">
        <v>122</v>
      </c>
      <c r="Q17" s="68" t="s">
        <v>121</v>
      </c>
      <c r="R17" s="68" t="s">
        <v>105</v>
      </c>
      <c r="S17" s="66" t="s">
        <v>105</v>
      </c>
      <c r="T17" s="66" t="s">
        <v>105</v>
      </c>
      <c r="U17" s="66" t="s">
        <v>105</v>
      </c>
      <c r="V17" s="69" t="s">
        <v>120</v>
      </c>
      <c r="W17" s="49" t="s">
        <v>117</v>
      </c>
      <c r="X17" s="35" t="s">
        <v>138</v>
      </c>
      <c r="Y17" s="35" t="s">
        <v>104</v>
      </c>
      <c r="Z17" s="49" t="s">
        <v>103</v>
      </c>
      <c r="AA17" s="49"/>
      <c r="AB17" s="49"/>
      <c r="AC17" s="49"/>
      <c r="AD17" s="49"/>
      <c r="AE17" s="35"/>
      <c r="AF17" s="35"/>
      <c r="AG17" s="49" t="s">
        <v>128</v>
      </c>
      <c r="AH17" s="49" t="s">
        <v>150</v>
      </c>
      <c r="AI17" s="18">
        <f t="shared" si="0"/>
        <v>1</v>
      </c>
      <c r="AJ17" s="18">
        <f t="shared" si="1"/>
        <v>1</v>
      </c>
      <c r="AK17" s="18">
        <f t="shared" si="2"/>
        <v>5</v>
      </c>
      <c r="AL17" s="18">
        <f t="shared" si="3"/>
        <v>0</v>
      </c>
      <c r="AM17" s="18">
        <f t="shared" si="4"/>
        <v>3</v>
      </c>
      <c r="AN17" s="18">
        <f t="shared" si="5"/>
        <v>21</v>
      </c>
      <c r="AO17" s="2">
        <f t="shared" si="6"/>
        <v>24</v>
      </c>
      <c r="AP17" s="2"/>
    </row>
    <row r="18" spans="1:42" ht="15" customHeight="1">
      <c r="A18" s="47" t="s">
        <v>50</v>
      </c>
      <c r="B18" s="48" t="s">
        <v>51</v>
      </c>
      <c r="C18" s="47" t="s">
        <v>41</v>
      </c>
      <c r="D18" s="68" t="s">
        <v>117</v>
      </c>
      <c r="E18" s="56" t="s">
        <v>118</v>
      </c>
      <c r="F18" s="66" t="s">
        <v>105</v>
      </c>
      <c r="G18" s="49"/>
      <c r="H18" s="49"/>
      <c r="I18" s="49"/>
      <c r="J18" s="68" t="s">
        <v>119</v>
      </c>
      <c r="K18" s="35" t="s">
        <v>117</v>
      </c>
      <c r="L18" s="49" t="s">
        <v>117</v>
      </c>
      <c r="M18" s="49" t="s">
        <v>104</v>
      </c>
      <c r="N18" s="49" t="s">
        <v>103</v>
      </c>
      <c r="O18" s="66" t="s">
        <v>101</v>
      </c>
      <c r="P18" s="49"/>
      <c r="Q18" s="35"/>
      <c r="R18" s="35"/>
      <c r="S18" s="49"/>
      <c r="T18" s="49"/>
      <c r="U18" s="49" t="s">
        <v>125</v>
      </c>
      <c r="V18" s="49" t="s">
        <v>117</v>
      </c>
      <c r="W18" s="49" t="s">
        <v>104</v>
      </c>
      <c r="X18" s="35" t="s">
        <v>112</v>
      </c>
      <c r="Y18" s="35"/>
      <c r="Z18" s="49"/>
      <c r="AA18" s="49"/>
      <c r="AB18" s="49"/>
      <c r="AC18" s="49"/>
      <c r="AD18" s="49"/>
      <c r="AE18" s="35"/>
      <c r="AF18" s="35"/>
      <c r="AG18" s="49"/>
      <c r="AH18" s="49"/>
      <c r="AI18" s="18">
        <f t="shared" si="0"/>
        <v>1</v>
      </c>
      <c r="AJ18" s="18">
        <f t="shared" si="1"/>
        <v>0</v>
      </c>
      <c r="AK18" s="18">
        <f t="shared" si="2"/>
        <v>5</v>
      </c>
      <c r="AL18" s="18">
        <f t="shared" si="3"/>
        <v>0</v>
      </c>
      <c r="AM18" s="18">
        <f t="shared" si="4"/>
        <v>3</v>
      </c>
      <c r="AN18" s="18">
        <f t="shared" si="5"/>
        <v>22</v>
      </c>
      <c r="AO18" s="2">
        <f t="shared" si="6"/>
        <v>25</v>
      </c>
      <c r="AP18" s="2"/>
    </row>
    <row r="19" spans="1:42" ht="15" customHeight="1">
      <c r="A19" s="44" t="s">
        <v>61</v>
      </c>
      <c r="B19" s="42" t="s">
        <v>62</v>
      </c>
      <c r="C19" s="44" t="s">
        <v>41</v>
      </c>
      <c r="D19" s="68" t="s">
        <v>116</v>
      </c>
      <c r="E19" s="56" t="s">
        <v>102</v>
      </c>
      <c r="F19" s="49"/>
      <c r="G19" s="49"/>
      <c r="H19" s="49"/>
      <c r="I19" s="49"/>
      <c r="J19" s="35"/>
      <c r="K19" s="35"/>
      <c r="L19" s="49"/>
      <c r="M19" s="49" t="s">
        <v>127</v>
      </c>
      <c r="N19" s="49" t="s">
        <v>135</v>
      </c>
      <c r="O19" s="49" t="s">
        <v>136</v>
      </c>
      <c r="P19" s="49" t="s">
        <v>112</v>
      </c>
      <c r="Q19" s="68" t="s">
        <v>137</v>
      </c>
      <c r="R19" s="35"/>
      <c r="S19" s="49"/>
      <c r="T19" s="49"/>
      <c r="U19" s="49"/>
      <c r="V19" s="49"/>
      <c r="W19" s="49"/>
      <c r="X19" s="35"/>
      <c r="Y19" s="35" t="s">
        <v>117</v>
      </c>
      <c r="Z19" s="49" t="s">
        <v>125</v>
      </c>
      <c r="AA19" s="49" t="s">
        <v>146</v>
      </c>
      <c r="AB19" s="49" t="s">
        <v>126</v>
      </c>
      <c r="AC19" s="49"/>
      <c r="AD19" s="49"/>
      <c r="AE19" s="35"/>
      <c r="AF19" s="35"/>
      <c r="AG19" s="49"/>
      <c r="AH19" s="49"/>
      <c r="AI19" s="18">
        <f t="shared" si="0"/>
        <v>0</v>
      </c>
      <c r="AJ19" s="18">
        <f t="shared" si="1"/>
        <v>0</v>
      </c>
      <c r="AK19" s="18">
        <f t="shared" si="2"/>
        <v>4</v>
      </c>
      <c r="AL19" s="18">
        <f t="shared" si="3"/>
        <v>0</v>
      </c>
      <c r="AM19" s="18">
        <f t="shared" si="4"/>
        <v>3</v>
      </c>
      <c r="AN19" s="18">
        <f t="shared" si="5"/>
        <v>24</v>
      </c>
      <c r="AO19" s="2">
        <f t="shared" si="6"/>
        <v>27</v>
      </c>
      <c r="AP19" s="2"/>
    </row>
    <row r="20" spans="1:42" ht="15" customHeight="1">
      <c r="A20" s="44" t="s">
        <v>59</v>
      </c>
      <c r="B20" s="20" t="s">
        <v>76</v>
      </c>
      <c r="C20" s="44" t="s">
        <v>41</v>
      </c>
      <c r="D20" s="33"/>
      <c r="E20" s="55"/>
      <c r="F20" s="58" t="s">
        <v>104</v>
      </c>
      <c r="G20" s="71" t="s">
        <v>117</v>
      </c>
      <c r="H20" s="10" t="s">
        <v>127</v>
      </c>
      <c r="I20" s="10" t="s">
        <v>106</v>
      </c>
      <c r="J20" s="33" t="s">
        <v>96</v>
      </c>
      <c r="K20" s="33"/>
      <c r="L20" s="10"/>
      <c r="M20" s="10"/>
      <c r="N20" s="10"/>
      <c r="O20" s="10"/>
      <c r="P20" s="10"/>
      <c r="Q20" s="33" t="s">
        <v>128</v>
      </c>
      <c r="R20" s="33" t="s">
        <v>117</v>
      </c>
      <c r="S20" s="24" t="s">
        <v>140</v>
      </c>
      <c r="T20" s="24" t="s">
        <v>105</v>
      </c>
      <c r="U20" s="24"/>
      <c r="V20" s="10"/>
      <c r="W20" s="10"/>
      <c r="X20" s="33"/>
      <c r="Y20" s="33"/>
      <c r="Z20" s="10"/>
      <c r="AA20" s="10" t="s">
        <v>127</v>
      </c>
      <c r="AB20" s="10" t="s">
        <v>117</v>
      </c>
      <c r="AC20" s="10" t="s">
        <v>102</v>
      </c>
      <c r="AD20" s="10" t="s">
        <v>126</v>
      </c>
      <c r="AE20" s="33"/>
      <c r="AF20" s="33"/>
      <c r="AG20" s="24"/>
      <c r="AH20" s="24"/>
      <c r="AI20" s="18">
        <f t="shared" si="0"/>
        <v>0</v>
      </c>
      <c r="AJ20" s="18">
        <f t="shared" si="1"/>
        <v>0</v>
      </c>
      <c r="AK20" s="18">
        <f t="shared" si="2"/>
        <v>6</v>
      </c>
      <c r="AL20" s="18">
        <f t="shared" si="3"/>
        <v>0</v>
      </c>
      <c r="AM20" s="18">
        <f t="shared" si="4"/>
        <v>3</v>
      </c>
      <c r="AN20" s="18">
        <f t="shared" si="5"/>
        <v>22</v>
      </c>
      <c r="AO20" s="2">
        <f t="shared" si="6"/>
        <v>25</v>
      </c>
      <c r="AP20" s="2"/>
    </row>
    <row r="21" spans="1:42" ht="15" customHeight="1">
      <c r="A21" s="44" t="s">
        <v>63</v>
      </c>
      <c r="B21" s="42" t="s">
        <v>64</v>
      </c>
      <c r="C21" s="44" t="s">
        <v>41</v>
      </c>
      <c r="D21" s="33"/>
      <c r="E21" s="55"/>
      <c r="F21" s="10"/>
      <c r="G21" s="10"/>
      <c r="H21" s="58" t="s">
        <v>102</v>
      </c>
      <c r="I21" s="10" t="s">
        <v>131</v>
      </c>
      <c r="J21" s="33" t="s">
        <v>117</v>
      </c>
      <c r="K21" s="60" t="s">
        <v>121</v>
      </c>
      <c r="L21" s="58" t="s">
        <v>105</v>
      </c>
      <c r="M21" s="10"/>
      <c r="N21" s="10"/>
      <c r="O21" s="10"/>
      <c r="P21" s="10"/>
      <c r="Q21" s="33"/>
      <c r="R21" s="33"/>
      <c r="S21" s="24" t="s">
        <v>139</v>
      </c>
      <c r="T21" s="24" t="s">
        <v>117</v>
      </c>
      <c r="U21" s="24" t="s">
        <v>104</v>
      </c>
      <c r="V21" s="10" t="s">
        <v>106</v>
      </c>
      <c r="W21" s="10"/>
      <c r="X21" s="33"/>
      <c r="Y21" s="33"/>
      <c r="Z21" s="10"/>
      <c r="AA21" s="10"/>
      <c r="AB21" s="10"/>
      <c r="AC21" s="10" t="s">
        <v>149</v>
      </c>
      <c r="AD21" s="10" t="s">
        <v>128</v>
      </c>
      <c r="AE21" s="33" t="s">
        <v>121</v>
      </c>
      <c r="AF21" s="33" t="s">
        <v>105</v>
      </c>
      <c r="AG21" s="24"/>
      <c r="AH21" s="24"/>
      <c r="AI21" s="18">
        <f t="shared" si="0"/>
        <v>0</v>
      </c>
      <c r="AJ21" s="18">
        <f t="shared" si="1"/>
        <v>0</v>
      </c>
      <c r="AK21" s="18">
        <f t="shared" si="2"/>
        <v>6</v>
      </c>
      <c r="AL21" s="18">
        <f t="shared" si="3"/>
        <v>0</v>
      </c>
      <c r="AM21" s="18">
        <f t="shared" si="4"/>
        <v>4</v>
      </c>
      <c r="AN21" s="18">
        <f t="shared" si="5"/>
        <v>21</v>
      </c>
      <c r="AO21" s="2">
        <f t="shared" si="6"/>
        <v>25</v>
      </c>
      <c r="AP21" s="2"/>
    </row>
    <row r="22" spans="1:42" ht="15" customHeight="1">
      <c r="A22" s="44" t="s">
        <v>65</v>
      </c>
      <c r="B22" s="42" t="s">
        <v>66</v>
      </c>
      <c r="C22" s="44" t="s">
        <v>41</v>
      </c>
      <c r="D22" s="34"/>
      <c r="E22" s="38" t="s">
        <v>117</v>
      </c>
      <c r="F22" s="10" t="s">
        <v>117</v>
      </c>
      <c r="G22" s="10" t="s">
        <v>129</v>
      </c>
      <c r="H22" s="58" t="s">
        <v>114</v>
      </c>
      <c r="I22" s="10"/>
      <c r="J22" s="33"/>
      <c r="K22" s="33"/>
      <c r="L22" s="10"/>
      <c r="M22" s="10"/>
      <c r="N22" s="10"/>
      <c r="O22" s="10" t="s">
        <v>128</v>
      </c>
      <c r="P22" s="10" t="s">
        <v>117</v>
      </c>
      <c r="Q22" s="60" t="s">
        <v>104</v>
      </c>
      <c r="R22" s="60" t="s">
        <v>114</v>
      </c>
      <c r="S22" s="24"/>
      <c r="T22" s="24"/>
      <c r="U22" s="22"/>
      <c r="V22" s="10"/>
      <c r="W22" s="52"/>
      <c r="X22" s="33"/>
      <c r="Y22" s="33"/>
      <c r="Z22" s="10"/>
      <c r="AA22" s="10"/>
      <c r="AB22" s="10"/>
      <c r="AC22" s="10"/>
      <c r="AD22" s="10"/>
      <c r="AE22" s="33" t="s">
        <v>138</v>
      </c>
      <c r="AF22" s="33" t="s">
        <v>128</v>
      </c>
      <c r="AG22" s="24" t="s">
        <v>104</v>
      </c>
      <c r="AH22" s="24" t="s">
        <v>103</v>
      </c>
      <c r="AI22" s="18">
        <f t="shared" si="0"/>
        <v>0</v>
      </c>
      <c r="AJ22" s="18">
        <f t="shared" si="1"/>
        <v>0</v>
      </c>
      <c r="AK22" s="18">
        <f t="shared" si="2"/>
        <v>6</v>
      </c>
      <c r="AL22" s="18">
        <f t="shared" si="3"/>
        <v>0</v>
      </c>
      <c r="AM22" s="18">
        <f t="shared" si="4"/>
        <v>3</v>
      </c>
      <c r="AN22" s="18">
        <f t="shared" si="5"/>
        <v>22</v>
      </c>
      <c r="AO22" s="2">
        <f t="shared" si="6"/>
        <v>25</v>
      </c>
      <c r="AP22" s="2"/>
    </row>
    <row r="23" spans="1:42" ht="15" customHeight="1">
      <c r="A23" s="76" t="s">
        <v>67</v>
      </c>
      <c r="B23" s="77" t="s">
        <v>68</v>
      </c>
      <c r="C23" s="76" t="s">
        <v>41</v>
      </c>
      <c r="D23" s="78" t="s">
        <v>69</v>
      </c>
      <c r="E23" s="79" t="s">
        <v>69</v>
      </c>
      <c r="F23" s="80" t="s">
        <v>69</v>
      </c>
      <c r="G23" s="80" t="s">
        <v>69</v>
      </c>
      <c r="H23" s="80" t="s">
        <v>69</v>
      </c>
      <c r="I23" s="80" t="s">
        <v>69</v>
      </c>
      <c r="J23" s="78" t="s">
        <v>69</v>
      </c>
      <c r="K23" s="78" t="s">
        <v>69</v>
      </c>
      <c r="L23" s="80" t="s">
        <v>69</v>
      </c>
      <c r="M23" s="80" t="s">
        <v>69</v>
      </c>
      <c r="N23" s="80" t="s">
        <v>69</v>
      </c>
      <c r="O23" s="80" t="s">
        <v>69</v>
      </c>
      <c r="P23" s="80" t="s">
        <v>69</v>
      </c>
      <c r="Q23" s="78" t="s">
        <v>69</v>
      </c>
      <c r="R23" s="78" t="s">
        <v>69</v>
      </c>
      <c r="S23" s="80" t="s">
        <v>69</v>
      </c>
      <c r="T23" s="80" t="s">
        <v>69</v>
      </c>
      <c r="U23" s="80" t="s">
        <v>69</v>
      </c>
      <c r="V23" s="80" t="s">
        <v>69</v>
      </c>
      <c r="W23" s="80" t="s">
        <v>69</v>
      </c>
      <c r="X23" s="78" t="s">
        <v>69</v>
      </c>
      <c r="Y23" s="78" t="s">
        <v>69</v>
      </c>
      <c r="Z23" s="80" t="s">
        <v>69</v>
      </c>
      <c r="AA23" s="80" t="s">
        <v>69</v>
      </c>
      <c r="AB23" s="80" t="s">
        <v>69</v>
      </c>
      <c r="AC23" s="80" t="s">
        <v>69</v>
      </c>
      <c r="AD23" s="80" t="s">
        <v>69</v>
      </c>
      <c r="AE23" s="78" t="s">
        <v>69</v>
      </c>
      <c r="AF23" s="78"/>
      <c r="AG23" s="81"/>
      <c r="AH23" s="81"/>
      <c r="AI23" s="82">
        <f t="shared" si="0"/>
        <v>0</v>
      </c>
      <c r="AJ23" s="82">
        <f t="shared" si="1"/>
        <v>0</v>
      </c>
      <c r="AK23" s="82">
        <f t="shared" si="2"/>
        <v>0</v>
      </c>
      <c r="AL23" s="82">
        <f t="shared" si="3"/>
        <v>0</v>
      </c>
      <c r="AM23" s="82">
        <f t="shared" si="4"/>
        <v>0</v>
      </c>
      <c r="AN23" s="82">
        <v>0</v>
      </c>
      <c r="AO23" s="83">
        <v>0</v>
      </c>
      <c r="AP23" s="88" t="s">
        <v>155</v>
      </c>
    </row>
    <row r="24" spans="1:42" ht="15" customHeight="1">
      <c r="A24" s="44">
        <v>10400856</v>
      </c>
      <c r="B24" s="53" t="s">
        <v>91</v>
      </c>
      <c r="C24" s="44" t="s">
        <v>92</v>
      </c>
      <c r="D24" s="33"/>
      <c r="E24" s="37"/>
      <c r="F24" s="58" t="s">
        <v>104</v>
      </c>
      <c r="G24" s="10"/>
      <c r="H24" s="10"/>
      <c r="I24" s="10"/>
      <c r="J24" s="33"/>
      <c r="K24" s="33"/>
      <c r="L24" s="10"/>
      <c r="M24" s="10"/>
      <c r="N24" s="10"/>
      <c r="O24" s="10"/>
      <c r="P24" s="10"/>
      <c r="Q24" s="33"/>
      <c r="R24" s="33"/>
      <c r="S24" s="10" t="s">
        <v>117</v>
      </c>
      <c r="T24" s="10" t="s">
        <v>127</v>
      </c>
      <c r="U24" s="10" t="s">
        <v>121</v>
      </c>
      <c r="V24" s="10" t="s">
        <v>105</v>
      </c>
      <c r="W24" s="10"/>
      <c r="X24" s="33"/>
      <c r="Y24" s="33"/>
      <c r="Z24" s="10"/>
      <c r="AA24" s="10"/>
      <c r="AB24" s="10"/>
      <c r="AC24" s="10"/>
      <c r="AD24" s="10"/>
      <c r="AE24" s="33"/>
      <c r="AF24" s="62"/>
      <c r="AG24" s="65"/>
      <c r="AH24" s="65" t="s">
        <v>127</v>
      </c>
      <c r="AI24" s="18">
        <f t="shared" si="0"/>
        <v>0</v>
      </c>
      <c r="AJ24" s="18">
        <f t="shared" si="1"/>
        <v>0</v>
      </c>
      <c r="AK24" s="18">
        <f t="shared" si="2"/>
        <v>3</v>
      </c>
      <c r="AL24" s="18">
        <f t="shared" si="3"/>
        <v>0</v>
      </c>
      <c r="AM24" s="18">
        <f t="shared" si="4"/>
        <v>2</v>
      </c>
      <c r="AN24" s="18">
        <f t="shared" si="5"/>
        <v>26</v>
      </c>
      <c r="AO24" s="2">
        <f t="shared" si="6"/>
        <v>28</v>
      </c>
      <c r="AP24" s="2"/>
    </row>
    <row r="25" spans="1:42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5"/>
      <c r="AF25" s="63"/>
      <c r="AG25" s="63"/>
      <c r="AH25" s="15" t="s">
        <v>70</v>
      </c>
      <c r="AI25" s="90">
        <f t="shared" ref="AI25:AL25" si="7">SUM(AI9:AI24)</f>
        <v>20</v>
      </c>
      <c r="AJ25" s="90">
        <f t="shared" si="7"/>
        <v>3</v>
      </c>
      <c r="AK25" s="90">
        <f t="shared" si="7"/>
        <v>66</v>
      </c>
      <c r="AL25" s="90">
        <f t="shared" si="7"/>
        <v>0</v>
      </c>
      <c r="AM25" s="90">
        <f>SUM(AM9:AM24)</f>
        <v>49</v>
      </c>
      <c r="AN25" s="19">
        <f>SUM(AN9:AN24)</f>
        <v>327</v>
      </c>
      <c r="AO25" s="19">
        <f>SUM(AO9:AO23)</f>
        <v>348</v>
      </c>
      <c r="AP25" s="2"/>
    </row>
    <row r="26" spans="1:42" ht="15" customHeight="1">
      <c r="A26" s="96" t="s">
        <v>11</v>
      </c>
      <c r="B26" s="96"/>
      <c r="C26" s="96"/>
      <c r="D26" s="30">
        <v>1</v>
      </c>
      <c r="E26" s="30">
        <v>2</v>
      </c>
      <c r="F26" s="1">
        <v>3</v>
      </c>
      <c r="G26" s="1">
        <v>4</v>
      </c>
      <c r="H26" s="1">
        <v>5</v>
      </c>
      <c r="I26" s="1">
        <v>6</v>
      </c>
      <c r="J26" s="30">
        <v>7</v>
      </c>
      <c r="K26" s="30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30">
        <v>14</v>
      </c>
      <c r="R26" s="30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30">
        <v>21</v>
      </c>
      <c r="Y26" s="30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30">
        <v>28</v>
      </c>
      <c r="AF26" s="30">
        <v>29</v>
      </c>
      <c r="AG26" s="1">
        <v>30</v>
      </c>
      <c r="AH26" s="89">
        <v>31</v>
      </c>
      <c r="AI26" s="63" t="s">
        <v>152</v>
      </c>
      <c r="AJ26" s="84"/>
      <c r="AK26" s="84"/>
      <c r="AL26" s="85"/>
    </row>
    <row r="27" spans="1:42" ht="15" customHeight="1">
      <c r="A27" s="93" t="s">
        <v>15</v>
      </c>
      <c r="B27" s="93"/>
      <c r="C27" s="93"/>
      <c r="D27" s="1">
        <f>COUNTIF(D9:D24,"D")</f>
        <v>1</v>
      </c>
      <c r="E27" s="1">
        <f>COUNTIF(E9:E24,"D")</f>
        <v>1</v>
      </c>
      <c r="F27" s="1">
        <f t="shared" ref="F27:AH27" si="8">COUNTIF(F9:F24,"D")</f>
        <v>3</v>
      </c>
      <c r="G27" s="1">
        <f t="shared" si="8"/>
        <v>2</v>
      </c>
      <c r="H27" s="1">
        <f t="shared" si="8"/>
        <v>2</v>
      </c>
      <c r="I27" s="1">
        <f t="shared" si="8"/>
        <v>1</v>
      </c>
      <c r="J27" s="1">
        <f t="shared" si="8"/>
        <v>0</v>
      </c>
      <c r="K27" s="1">
        <f t="shared" si="8"/>
        <v>0</v>
      </c>
      <c r="L27" s="1">
        <f t="shared" si="8"/>
        <v>2</v>
      </c>
      <c r="M27" s="1">
        <f t="shared" si="8"/>
        <v>2</v>
      </c>
      <c r="N27" s="1">
        <f t="shared" si="8"/>
        <v>0</v>
      </c>
      <c r="O27" s="1">
        <f t="shared" si="8"/>
        <v>3</v>
      </c>
      <c r="P27" s="1">
        <f t="shared" si="8"/>
        <v>2</v>
      </c>
      <c r="Q27" s="1">
        <f t="shared" si="8"/>
        <v>0</v>
      </c>
      <c r="R27" s="1">
        <f t="shared" si="8"/>
        <v>0</v>
      </c>
      <c r="S27" s="1">
        <f t="shared" si="8"/>
        <v>0</v>
      </c>
      <c r="T27" s="1">
        <f t="shared" si="8"/>
        <v>0</v>
      </c>
      <c r="U27" s="1">
        <f t="shared" si="8"/>
        <v>0</v>
      </c>
      <c r="V27" s="1">
        <f t="shared" si="8"/>
        <v>0</v>
      </c>
      <c r="W27" s="1">
        <f t="shared" si="8"/>
        <v>0</v>
      </c>
      <c r="X27" s="1">
        <f t="shared" si="8"/>
        <v>0</v>
      </c>
      <c r="Y27" s="1">
        <f t="shared" si="8"/>
        <v>0</v>
      </c>
      <c r="Z27" s="1">
        <f t="shared" si="8"/>
        <v>0</v>
      </c>
      <c r="AA27" s="1">
        <f t="shared" si="8"/>
        <v>0</v>
      </c>
      <c r="AB27" s="1">
        <f t="shared" si="8"/>
        <v>1</v>
      </c>
      <c r="AC27" s="1">
        <f t="shared" si="8"/>
        <v>0</v>
      </c>
      <c r="AD27" s="1">
        <f t="shared" si="8"/>
        <v>0</v>
      </c>
      <c r="AE27" s="1">
        <f t="shared" si="8"/>
        <v>0</v>
      </c>
      <c r="AF27" s="1">
        <f t="shared" si="8"/>
        <v>0</v>
      </c>
      <c r="AG27" s="1">
        <f t="shared" si="8"/>
        <v>0</v>
      </c>
      <c r="AH27" s="1">
        <f t="shared" si="8"/>
        <v>0</v>
      </c>
      <c r="AI27" s="1">
        <f>SUM(D27:AH27)</f>
        <v>20</v>
      </c>
      <c r="AJ27" s="84"/>
      <c r="AK27" s="84"/>
      <c r="AL27" s="86"/>
    </row>
    <row r="28" spans="1:42" ht="15" customHeight="1">
      <c r="A28" s="93" t="s">
        <v>16</v>
      </c>
      <c r="B28" s="93"/>
      <c r="C28" s="93"/>
      <c r="D28" s="1">
        <f>COUNTIF(D9:D24,"E")</f>
        <v>1</v>
      </c>
      <c r="E28" s="1">
        <f>COUNTIF(E9:E24,"E")</f>
        <v>1</v>
      </c>
      <c r="F28" s="1">
        <f t="shared" ref="F28:AH28" si="9">COUNTIF(F9:F24,"E")</f>
        <v>0</v>
      </c>
      <c r="G28" s="1">
        <f t="shared" si="9"/>
        <v>0</v>
      </c>
      <c r="H28" s="1">
        <f t="shared" si="9"/>
        <v>0</v>
      </c>
      <c r="I28" s="1">
        <f t="shared" si="9"/>
        <v>0</v>
      </c>
      <c r="J28" s="1">
        <f t="shared" si="9"/>
        <v>0</v>
      </c>
      <c r="K28" s="1">
        <f t="shared" si="9"/>
        <v>0</v>
      </c>
      <c r="L28" s="1">
        <f t="shared" si="9"/>
        <v>0</v>
      </c>
      <c r="M28" s="1">
        <f t="shared" si="9"/>
        <v>0</v>
      </c>
      <c r="N28" s="1">
        <f t="shared" si="9"/>
        <v>0</v>
      </c>
      <c r="O28" s="1">
        <f t="shared" si="9"/>
        <v>0</v>
      </c>
      <c r="P28" s="1">
        <f t="shared" si="9"/>
        <v>0</v>
      </c>
      <c r="Q28" s="1">
        <f t="shared" si="9"/>
        <v>0</v>
      </c>
      <c r="R28" s="1">
        <f t="shared" si="9"/>
        <v>0</v>
      </c>
      <c r="S28" s="1">
        <f t="shared" si="9"/>
        <v>0</v>
      </c>
      <c r="T28" s="1">
        <f t="shared" si="9"/>
        <v>0</v>
      </c>
      <c r="U28" s="1">
        <f t="shared" si="9"/>
        <v>0</v>
      </c>
      <c r="V28" s="1">
        <f t="shared" si="9"/>
        <v>1</v>
      </c>
      <c r="W28" s="1">
        <f t="shared" si="9"/>
        <v>0</v>
      </c>
      <c r="X28" s="1">
        <f t="shared" si="9"/>
        <v>0</v>
      </c>
      <c r="Y28" s="1">
        <f t="shared" si="9"/>
        <v>0</v>
      </c>
      <c r="Z28" s="1">
        <f t="shared" si="9"/>
        <v>0</v>
      </c>
      <c r="AA28" s="1">
        <f t="shared" si="9"/>
        <v>0</v>
      </c>
      <c r="AB28" s="1">
        <f t="shared" si="9"/>
        <v>0</v>
      </c>
      <c r="AC28" s="1">
        <f t="shared" si="9"/>
        <v>0</v>
      </c>
      <c r="AD28" s="1">
        <f t="shared" si="9"/>
        <v>0</v>
      </c>
      <c r="AE28" s="1">
        <f t="shared" si="9"/>
        <v>0</v>
      </c>
      <c r="AF28" s="1">
        <f t="shared" si="9"/>
        <v>0</v>
      </c>
      <c r="AG28" s="1">
        <f t="shared" si="9"/>
        <v>0</v>
      </c>
      <c r="AH28" s="1">
        <f t="shared" si="9"/>
        <v>0</v>
      </c>
      <c r="AI28" s="1">
        <f t="shared" ref="AI28:AI33" si="10">SUM(D28:AH28)</f>
        <v>3</v>
      </c>
      <c r="AJ28" s="84"/>
      <c r="AK28" s="84"/>
      <c r="AL28" s="86"/>
    </row>
    <row r="29" spans="1:42" ht="15" customHeight="1">
      <c r="A29" s="93" t="s">
        <v>17</v>
      </c>
      <c r="B29" s="93"/>
      <c r="C29" s="93"/>
      <c r="D29" s="1">
        <f>COUNTIF(D11:D24,"N")</f>
        <v>2</v>
      </c>
      <c r="E29" s="1">
        <f>COUNTIF(E9:E24,"N")</f>
        <v>2</v>
      </c>
      <c r="F29" s="1">
        <f t="shared" ref="F29:AH29" si="11">COUNTIF(F11:F24,"N")</f>
        <v>2</v>
      </c>
      <c r="G29" s="1">
        <f t="shared" ref="G29:AH29" si="12">COUNTIF(G9:G24,"N")</f>
        <v>2</v>
      </c>
      <c r="H29" s="1">
        <f t="shared" ref="H29:AH29" si="13">COUNTIF(H11:H24,"N")</f>
        <v>2</v>
      </c>
      <c r="I29" s="1">
        <f t="shared" ref="I29:AH29" si="14">COUNTIF(I9:I24,"N")</f>
        <v>2</v>
      </c>
      <c r="J29" s="1">
        <f t="shared" ref="J29:AH29" si="15">COUNTIF(J11:J24,"N")</f>
        <v>2</v>
      </c>
      <c r="K29" s="1">
        <f t="shared" ref="K29:AH29" si="16">COUNTIF(K9:K24,"N")</f>
        <v>2</v>
      </c>
      <c r="L29" s="1">
        <f t="shared" ref="L29:AH29" si="17">COUNTIF(L11:L24,"N")</f>
        <v>2</v>
      </c>
      <c r="M29" s="1">
        <f t="shared" ref="M29:AH29" si="18">COUNTIF(M9:M24,"N")</f>
        <v>2</v>
      </c>
      <c r="N29" s="1">
        <f t="shared" ref="N29:AH29" si="19">COUNTIF(N11:N24,"N")</f>
        <v>2</v>
      </c>
      <c r="O29" s="1">
        <f t="shared" ref="O29:AH29" si="20">COUNTIF(O9:O24,"N")</f>
        <v>2</v>
      </c>
      <c r="P29" s="1">
        <f t="shared" ref="P29:AH29" si="21">COUNTIF(P11:P24,"N")</f>
        <v>2</v>
      </c>
      <c r="Q29" s="1">
        <f t="shared" ref="Q29:AH29" si="22">COUNTIF(Q9:Q24,"N")</f>
        <v>2</v>
      </c>
      <c r="R29" s="1">
        <f t="shared" ref="R29:AH29" si="23">COUNTIF(R11:R24,"N")</f>
        <v>2</v>
      </c>
      <c r="S29" s="1">
        <f t="shared" ref="S29:AH29" si="24">COUNTIF(S9:S24,"N")</f>
        <v>3</v>
      </c>
      <c r="T29" s="1">
        <f t="shared" ref="T29:AH29" si="25">COUNTIF(T11:T24,"N")</f>
        <v>3</v>
      </c>
      <c r="U29" s="1">
        <f t="shared" ref="U29:AH29" si="26">COUNTIF(U9:U24,"N")</f>
        <v>2</v>
      </c>
      <c r="V29" s="1">
        <f t="shared" ref="V29:AH29" si="27">COUNTIF(V11:V24,"N")</f>
        <v>2</v>
      </c>
      <c r="W29" s="1">
        <f t="shared" ref="W29:AH29" si="28">COUNTIF(W9:W24,"N")</f>
        <v>2</v>
      </c>
      <c r="X29" s="1">
        <f t="shared" ref="X29:AH29" si="29">COUNTIF(X11:X24,"N")</f>
        <v>2</v>
      </c>
      <c r="Y29" s="1">
        <f t="shared" ref="Y29:AH29" si="30">COUNTIF(Y9:Y24,"N")</f>
        <v>2</v>
      </c>
      <c r="Z29" s="1">
        <f t="shared" ref="Z29:AH29" si="31">COUNTIF(Z11:Z24,"N")</f>
        <v>2</v>
      </c>
      <c r="AA29" s="1">
        <f t="shared" ref="AA29:AH29" si="32">COUNTIF(AA9:AA24,"N")</f>
        <v>2</v>
      </c>
      <c r="AB29" s="1">
        <f t="shared" ref="AB29:AH29" si="33">COUNTIF(AB11:AB24,"N")</f>
        <v>2</v>
      </c>
      <c r="AC29" s="1">
        <f t="shared" ref="AC29:AH29" si="34">COUNTIF(AC9:AC24,"N")</f>
        <v>2</v>
      </c>
      <c r="AD29" s="1">
        <f t="shared" ref="AD29:AH29" si="35">COUNTIF(AD11:AD24,"N")</f>
        <v>2</v>
      </c>
      <c r="AE29" s="1">
        <f t="shared" ref="AE29:AH29" si="36">COUNTIF(AE9:AE24,"N")</f>
        <v>2</v>
      </c>
      <c r="AF29" s="1">
        <f t="shared" ref="AF29:AH29" si="37">COUNTIF(AF11:AF24,"N")</f>
        <v>2</v>
      </c>
      <c r="AG29" s="1">
        <f t="shared" ref="AG29:AH29" si="38">COUNTIF(AG9:AG24,"N")</f>
        <v>2</v>
      </c>
      <c r="AH29" s="1">
        <f t="shared" ref="AH29" si="39">COUNTIF(AH11:AH24,"N")</f>
        <v>4</v>
      </c>
      <c r="AI29" s="1">
        <f t="shared" si="10"/>
        <v>66</v>
      </c>
      <c r="AJ29" s="84"/>
      <c r="AK29" s="84"/>
      <c r="AL29" s="86"/>
    </row>
    <row r="30" spans="1:42" ht="15" customHeight="1">
      <c r="A30" s="93" t="s">
        <v>18</v>
      </c>
      <c r="B30" s="93"/>
      <c r="C30" s="93"/>
      <c r="D30" s="1">
        <f>COUNTIF(D9:D24,"T")</f>
        <v>0</v>
      </c>
      <c r="E30" s="1">
        <f t="shared" ref="E30:AH30" si="40">COUNTIF(E9:E24,"T")</f>
        <v>0</v>
      </c>
      <c r="F30" s="1">
        <f t="shared" si="40"/>
        <v>0</v>
      </c>
      <c r="G30" s="1">
        <f t="shared" si="40"/>
        <v>0</v>
      </c>
      <c r="H30" s="1">
        <f t="shared" si="40"/>
        <v>0</v>
      </c>
      <c r="I30" s="1">
        <f t="shared" si="40"/>
        <v>0</v>
      </c>
      <c r="J30" s="1">
        <f t="shared" si="40"/>
        <v>0</v>
      </c>
      <c r="K30" s="1">
        <f t="shared" si="40"/>
        <v>0</v>
      </c>
      <c r="L30" s="1">
        <f t="shared" si="40"/>
        <v>0</v>
      </c>
      <c r="M30" s="1">
        <f t="shared" si="40"/>
        <v>0</v>
      </c>
      <c r="N30" s="1">
        <f t="shared" si="40"/>
        <v>0</v>
      </c>
      <c r="O30" s="1">
        <f t="shared" si="40"/>
        <v>0</v>
      </c>
      <c r="P30" s="1">
        <f t="shared" si="40"/>
        <v>0</v>
      </c>
      <c r="Q30" s="1">
        <f t="shared" si="40"/>
        <v>0</v>
      </c>
      <c r="R30" s="1">
        <f t="shared" si="40"/>
        <v>0</v>
      </c>
      <c r="S30" s="1">
        <f t="shared" si="40"/>
        <v>0</v>
      </c>
      <c r="T30" s="1">
        <f t="shared" si="40"/>
        <v>0</v>
      </c>
      <c r="U30" s="1">
        <f t="shared" si="40"/>
        <v>0</v>
      </c>
      <c r="V30" s="1">
        <f t="shared" si="40"/>
        <v>0</v>
      </c>
      <c r="W30" s="1">
        <f t="shared" si="40"/>
        <v>0</v>
      </c>
      <c r="X30" s="1">
        <f t="shared" si="40"/>
        <v>0</v>
      </c>
      <c r="Y30" s="1">
        <f t="shared" si="40"/>
        <v>0</v>
      </c>
      <c r="Z30" s="1">
        <f t="shared" si="40"/>
        <v>0</v>
      </c>
      <c r="AA30" s="1">
        <f t="shared" si="40"/>
        <v>0</v>
      </c>
      <c r="AB30" s="1">
        <f t="shared" si="40"/>
        <v>0</v>
      </c>
      <c r="AC30" s="1">
        <f t="shared" si="40"/>
        <v>0</v>
      </c>
      <c r="AD30" s="1">
        <f t="shared" si="40"/>
        <v>0</v>
      </c>
      <c r="AE30" s="1">
        <f t="shared" si="40"/>
        <v>0</v>
      </c>
      <c r="AF30" s="1">
        <f t="shared" si="40"/>
        <v>0</v>
      </c>
      <c r="AG30" s="1">
        <f t="shared" si="40"/>
        <v>0</v>
      </c>
      <c r="AH30" s="1">
        <f t="shared" si="40"/>
        <v>0</v>
      </c>
      <c r="AI30" s="1">
        <f t="shared" si="10"/>
        <v>0</v>
      </c>
      <c r="AJ30" s="84"/>
      <c r="AK30" s="84"/>
      <c r="AL30" s="86"/>
    </row>
    <row r="31" spans="1:42" ht="15" customHeight="1">
      <c r="A31" s="93" t="s">
        <v>19</v>
      </c>
      <c r="B31" s="93"/>
      <c r="C31" s="93"/>
      <c r="D31" s="1">
        <f>COUNTIF(D9:D24,"X")</f>
        <v>0</v>
      </c>
      <c r="E31" s="1">
        <f t="shared" ref="E31:AH31" si="41">COUNTIF(E9:E24,"X")</f>
        <v>4</v>
      </c>
      <c r="F31" s="1">
        <f t="shared" si="41"/>
        <v>2</v>
      </c>
      <c r="G31" s="1">
        <f t="shared" si="41"/>
        <v>2</v>
      </c>
      <c r="H31" s="1">
        <f t="shared" si="41"/>
        <v>1</v>
      </c>
      <c r="I31" s="1">
        <f t="shared" si="41"/>
        <v>1</v>
      </c>
      <c r="J31" s="1">
        <f t="shared" si="41"/>
        <v>3</v>
      </c>
      <c r="K31" s="1">
        <f t="shared" si="41"/>
        <v>2</v>
      </c>
      <c r="L31" s="1">
        <f t="shared" si="41"/>
        <v>1</v>
      </c>
      <c r="M31" s="1">
        <f t="shared" si="41"/>
        <v>2</v>
      </c>
      <c r="N31" s="1">
        <f t="shared" si="41"/>
        <v>1</v>
      </c>
      <c r="O31" s="1">
        <f t="shared" si="41"/>
        <v>2</v>
      </c>
      <c r="P31" s="1">
        <f t="shared" si="41"/>
        <v>0</v>
      </c>
      <c r="Q31" s="1">
        <f t="shared" si="41"/>
        <v>5</v>
      </c>
      <c r="R31" s="1">
        <f t="shared" si="41"/>
        <v>0</v>
      </c>
      <c r="S31" s="1">
        <f t="shared" si="41"/>
        <v>2</v>
      </c>
      <c r="T31" s="1">
        <f t="shared" si="41"/>
        <v>0</v>
      </c>
      <c r="U31" s="1">
        <f t="shared" si="41"/>
        <v>3</v>
      </c>
      <c r="V31" s="1">
        <f t="shared" si="41"/>
        <v>0</v>
      </c>
      <c r="W31" s="1">
        <f t="shared" si="41"/>
        <v>2</v>
      </c>
      <c r="X31" s="1">
        <f t="shared" si="41"/>
        <v>3</v>
      </c>
      <c r="Y31" s="1">
        <f t="shared" si="41"/>
        <v>2</v>
      </c>
      <c r="Z31" s="1">
        <f t="shared" si="41"/>
        <v>0</v>
      </c>
      <c r="AA31" s="1">
        <f t="shared" si="41"/>
        <v>1</v>
      </c>
      <c r="AB31" s="1">
        <f t="shared" si="41"/>
        <v>1</v>
      </c>
      <c r="AC31" s="1">
        <f t="shared" si="41"/>
        <v>3</v>
      </c>
      <c r="AD31" s="1">
        <f t="shared" si="41"/>
        <v>0</v>
      </c>
      <c r="AE31" s="1">
        <f t="shared" si="41"/>
        <v>4</v>
      </c>
      <c r="AF31" s="1">
        <f t="shared" si="41"/>
        <v>0</v>
      </c>
      <c r="AG31" s="1">
        <f t="shared" si="41"/>
        <v>2</v>
      </c>
      <c r="AH31" s="1">
        <f t="shared" si="41"/>
        <v>0</v>
      </c>
      <c r="AI31" s="1">
        <f t="shared" si="10"/>
        <v>49</v>
      </c>
      <c r="AJ31" s="84"/>
      <c r="AK31" s="84"/>
      <c r="AL31" s="86"/>
    </row>
    <row r="32" spans="1:42" ht="15" customHeight="1">
      <c r="A32" s="100" t="s">
        <v>75</v>
      </c>
      <c r="B32" s="100"/>
      <c r="C32" s="100"/>
      <c r="D32" s="1">
        <f>SUM(D30:D31)</f>
        <v>0</v>
      </c>
      <c r="E32" s="1">
        <f t="shared" ref="E32:AH32" si="42">SUM(E30:E31)</f>
        <v>4</v>
      </c>
      <c r="F32" s="1">
        <f t="shared" si="42"/>
        <v>2</v>
      </c>
      <c r="G32" s="1">
        <f t="shared" si="42"/>
        <v>2</v>
      </c>
      <c r="H32" s="1">
        <f t="shared" si="42"/>
        <v>1</v>
      </c>
      <c r="I32" s="1">
        <f t="shared" si="42"/>
        <v>1</v>
      </c>
      <c r="J32" s="1">
        <f t="shared" si="42"/>
        <v>3</v>
      </c>
      <c r="K32" s="1">
        <f t="shared" si="42"/>
        <v>2</v>
      </c>
      <c r="L32" s="1">
        <f t="shared" si="42"/>
        <v>1</v>
      </c>
      <c r="M32" s="1">
        <f t="shared" si="42"/>
        <v>2</v>
      </c>
      <c r="N32" s="1">
        <f t="shared" si="42"/>
        <v>1</v>
      </c>
      <c r="O32" s="1">
        <f t="shared" si="42"/>
        <v>2</v>
      </c>
      <c r="P32" s="1">
        <f t="shared" si="42"/>
        <v>0</v>
      </c>
      <c r="Q32" s="1">
        <f t="shared" si="42"/>
        <v>5</v>
      </c>
      <c r="R32" s="1">
        <f t="shared" si="42"/>
        <v>0</v>
      </c>
      <c r="S32" s="1">
        <f t="shared" si="42"/>
        <v>2</v>
      </c>
      <c r="T32" s="1">
        <f t="shared" si="42"/>
        <v>0</v>
      </c>
      <c r="U32" s="1">
        <f t="shared" si="42"/>
        <v>3</v>
      </c>
      <c r="V32" s="1">
        <f t="shared" si="42"/>
        <v>0</v>
      </c>
      <c r="W32" s="1">
        <f t="shared" si="42"/>
        <v>2</v>
      </c>
      <c r="X32" s="1">
        <f t="shared" si="42"/>
        <v>3</v>
      </c>
      <c r="Y32" s="1">
        <f t="shared" si="42"/>
        <v>2</v>
      </c>
      <c r="Z32" s="1">
        <f t="shared" si="42"/>
        <v>0</v>
      </c>
      <c r="AA32" s="1">
        <f t="shared" si="42"/>
        <v>1</v>
      </c>
      <c r="AB32" s="1">
        <f t="shared" si="42"/>
        <v>1</v>
      </c>
      <c r="AC32" s="1">
        <f t="shared" si="42"/>
        <v>3</v>
      </c>
      <c r="AD32" s="1">
        <f t="shared" si="42"/>
        <v>0</v>
      </c>
      <c r="AE32" s="1">
        <f t="shared" si="42"/>
        <v>4</v>
      </c>
      <c r="AF32" s="1">
        <f t="shared" si="42"/>
        <v>0</v>
      </c>
      <c r="AG32" s="1">
        <f t="shared" si="42"/>
        <v>2</v>
      </c>
      <c r="AH32" s="1">
        <f t="shared" si="42"/>
        <v>0</v>
      </c>
      <c r="AI32" s="1">
        <f t="shared" si="10"/>
        <v>49</v>
      </c>
      <c r="AJ32" s="84"/>
      <c r="AK32" s="84"/>
      <c r="AL32" s="86"/>
    </row>
    <row r="33" spans="1:35">
      <c r="A33" s="108" t="s">
        <v>153</v>
      </c>
      <c r="B33" s="109"/>
      <c r="C33" s="110"/>
      <c r="D33" s="75">
        <f>SUM(D27:D32)</f>
        <v>4</v>
      </c>
      <c r="E33" s="75">
        <f t="shared" ref="E33:AH33" si="43">SUM(E27:E32)</f>
        <v>12</v>
      </c>
      <c r="F33" s="75">
        <f t="shared" si="43"/>
        <v>9</v>
      </c>
      <c r="G33" s="75">
        <f t="shared" si="43"/>
        <v>8</v>
      </c>
      <c r="H33" s="75">
        <f t="shared" si="43"/>
        <v>6</v>
      </c>
      <c r="I33" s="75">
        <f t="shared" si="43"/>
        <v>5</v>
      </c>
      <c r="J33" s="75">
        <f t="shared" si="43"/>
        <v>8</v>
      </c>
      <c r="K33" s="75">
        <f t="shared" si="43"/>
        <v>6</v>
      </c>
      <c r="L33" s="75">
        <f t="shared" si="43"/>
        <v>6</v>
      </c>
      <c r="M33" s="75">
        <f t="shared" si="43"/>
        <v>8</v>
      </c>
      <c r="N33" s="75">
        <f t="shared" si="43"/>
        <v>4</v>
      </c>
      <c r="O33" s="75">
        <f t="shared" si="43"/>
        <v>9</v>
      </c>
      <c r="P33" s="75">
        <f t="shared" si="43"/>
        <v>4</v>
      </c>
      <c r="Q33" s="75">
        <f t="shared" si="43"/>
        <v>12</v>
      </c>
      <c r="R33" s="75">
        <f t="shared" si="43"/>
        <v>2</v>
      </c>
      <c r="S33" s="75">
        <f t="shared" si="43"/>
        <v>7</v>
      </c>
      <c r="T33" s="75">
        <f t="shared" si="43"/>
        <v>3</v>
      </c>
      <c r="U33" s="75">
        <f t="shared" si="43"/>
        <v>8</v>
      </c>
      <c r="V33" s="75">
        <f t="shared" si="43"/>
        <v>3</v>
      </c>
      <c r="W33" s="75">
        <f t="shared" si="43"/>
        <v>6</v>
      </c>
      <c r="X33" s="75">
        <f t="shared" si="43"/>
        <v>8</v>
      </c>
      <c r="Y33" s="75">
        <f t="shared" si="43"/>
        <v>6</v>
      </c>
      <c r="Z33" s="75">
        <f t="shared" si="43"/>
        <v>2</v>
      </c>
      <c r="AA33" s="75">
        <f t="shared" si="43"/>
        <v>4</v>
      </c>
      <c r="AB33" s="75">
        <f t="shared" si="43"/>
        <v>5</v>
      </c>
      <c r="AC33" s="75">
        <f t="shared" si="43"/>
        <v>8</v>
      </c>
      <c r="AD33" s="75">
        <f t="shared" si="43"/>
        <v>2</v>
      </c>
      <c r="AE33" s="75">
        <f t="shared" si="43"/>
        <v>10</v>
      </c>
      <c r="AF33" s="75">
        <f t="shared" si="43"/>
        <v>2</v>
      </c>
      <c r="AG33" s="75">
        <f t="shared" si="43"/>
        <v>6</v>
      </c>
      <c r="AH33" s="75">
        <f t="shared" si="43"/>
        <v>4</v>
      </c>
      <c r="AI33" s="87">
        <f t="shared" si="10"/>
        <v>187</v>
      </c>
    </row>
  </sheetData>
  <mergeCells count="23">
    <mergeCell ref="A33:C33"/>
    <mergeCell ref="AP7:AP8"/>
    <mergeCell ref="A28:C28"/>
    <mergeCell ref="A29:C29"/>
    <mergeCell ref="A30:C30"/>
    <mergeCell ref="A31:C31"/>
    <mergeCell ref="A32:C32"/>
    <mergeCell ref="A27:C27"/>
    <mergeCell ref="A26:C26"/>
    <mergeCell ref="A1:AE1"/>
    <mergeCell ref="A6:C6"/>
    <mergeCell ref="D6:AE6"/>
    <mergeCell ref="AI6:AO6"/>
    <mergeCell ref="A7:A8"/>
    <mergeCell ref="B7:B8"/>
    <mergeCell ref="C7:C8"/>
    <mergeCell ref="AI7:AI8"/>
    <mergeCell ref="AJ7:AJ8"/>
    <mergeCell ref="AK7:AK8"/>
    <mergeCell ref="AL7:AL8"/>
    <mergeCell ref="AM7:AM8"/>
    <mergeCell ref="AN7:AN8"/>
    <mergeCell ref="AO7:AO8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AI21" sqref="AI21"/>
    </sheetView>
  </sheetViews>
  <sheetFormatPr defaultColWidth="8.5" defaultRowHeight="17.399999999999999"/>
  <cols>
    <col min="1" max="1" width="11" customWidth="1"/>
    <col min="2" max="2" width="7" customWidth="1"/>
    <col min="3" max="3" width="4" customWidth="1"/>
    <col min="4" max="31" width="3.5" customWidth="1"/>
    <col min="32" max="32" width="7.5" bestFit="1" customWidth="1"/>
    <col min="33" max="34" width="3.5" customWidth="1"/>
    <col min="35" max="35" width="5.19921875" bestFit="1" customWidth="1"/>
    <col min="36" max="36" width="3.5" customWidth="1"/>
    <col min="37" max="37" width="5.09765625" bestFit="1" customWidth="1"/>
  </cols>
  <sheetData>
    <row r="1" spans="1:38" ht="15" customHeight="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1" t="s">
        <v>1</v>
      </c>
      <c r="AG1" s="1" t="s">
        <v>2</v>
      </c>
      <c r="AH1" s="1" t="s">
        <v>3</v>
      </c>
    </row>
    <row r="2" spans="1:38" ht="15" customHeight="1">
      <c r="AF2" s="2"/>
      <c r="AG2" s="2"/>
      <c r="AH2" s="2"/>
    </row>
    <row r="3" spans="1:38" ht="15" customHeight="1">
      <c r="A3" s="3" t="s">
        <v>4</v>
      </c>
      <c r="D3" s="3" t="s">
        <v>5</v>
      </c>
      <c r="AF3" s="2"/>
      <c r="AG3" s="2"/>
      <c r="AH3" s="2"/>
    </row>
    <row r="4" spans="1:38" ht="15" customHeight="1">
      <c r="A4" s="3" t="s">
        <v>6</v>
      </c>
      <c r="B4" t="s">
        <v>7</v>
      </c>
      <c r="D4" s="3" t="s">
        <v>8</v>
      </c>
    </row>
    <row r="5" spans="1:38" ht="15" customHeight="1"/>
    <row r="6" spans="1:38" ht="15" customHeight="1">
      <c r="A6" s="95" t="s">
        <v>9</v>
      </c>
      <c r="B6" s="95"/>
      <c r="C6" s="95"/>
      <c r="D6" s="95" t="s">
        <v>10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7" t="s">
        <v>11</v>
      </c>
      <c r="AG6" s="98"/>
      <c r="AH6" s="98"/>
      <c r="AI6" s="98"/>
      <c r="AJ6" s="98"/>
      <c r="AK6" s="98"/>
      <c r="AL6" s="99"/>
    </row>
    <row r="7" spans="1:38" ht="15" customHeight="1">
      <c r="A7" s="42" t="s">
        <v>12</v>
      </c>
      <c r="B7" s="42" t="s">
        <v>13</v>
      </c>
      <c r="C7" s="42" t="s">
        <v>14</v>
      </c>
      <c r="D7" s="1">
        <v>1</v>
      </c>
      <c r="E7" s="1">
        <v>2</v>
      </c>
      <c r="F7" s="1">
        <v>3</v>
      </c>
      <c r="G7" s="1">
        <v>4</v>
      </c>
      <c r="H7" s="1">
        <v>5</v>
      </c>
      <c r="I7" s="1">
        <v>6</v>
      </c>
      <c r="J7" s="1">
        <v>7</v>
      </c>
      <c r="K7" s="1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1">
        <v>14</v>
      </c>
      <c r="R7" s="1">
        <v>15</v>
      </c>
      <c r="S7" s="1">
        <v>16</v>
      </c>
      <c r="T7" s="1">
        <v>17</v>
      </c>
      <c r="U7" s="1">
        <v>18</v>
      </c>
      <c r="V7" s="1">
        <v>19</v>
      </c>
      <c r="W7" s="1">
        <v>20</v>
      </c>
      <c r="X7" s="1">
        <v>21</v>
      </c>
      <c r="Y7" s="1">
        <v>22</v>
      </c>
      <c r="Z7" s="1">
        <v>23</v>
      </c>
      <c r="AA7" s="1">
        <v>24</v>
      </c>
      <c r="AB7" s="1">
        <v>25</v>
      </c>
      <c r="AC7" s="1">
        <v>26</v>
      </c>
      <c r="AD7" s="1">
        <v>27</v>
      </c>
      <c r="AE7" s="1">
        <v>28</v>
      </c>
      <c r="AF7" s="5" t="s">
        <v>15</v>
      </c>
      <c r="AG7" s="5" t="s">
        <v>16</v>
      </c>
      <c r="AH7" s="5" t="s">
        <v>17</v>
      </c>
      <c r="AI7" s="5" t="s">
        <v>18</v>
      </c>
      <c r="AJ7" s="5" t="s">
        <v>19</v>
      </c>
      <c r="AK7" s="5" t="s">
        <v>20</v>
      </c>
      <c r="AL7" s="17" t="s">
        <v>74</v>
      </c>
    </row>
    <row r="8" spans="1:38" ht="15" customHeight="1">
      <c r="A8" s="2"/>
      <c r="B8" s="2"/>
      <c r="C8" s="2"/>
      <c r="D8" s="6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7" t="s">
        <v>27</v>
      </c>
      <c r="K8" s="6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7" t="s">
        <v>27</v>
      </c>
      <c r="R8" s="6" t="s">
        <v>21</v>
      </c>
      <c r="S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  <c r="X8" s="7" t="s">
        <v>27</v>
      </c>
      <c r="Y8" s="6" t="s">
        <v>21</v>
      </c>
      <c r="Z8" s="1" t="s">
        <v>22</v>
      </c>
      <c r="AA8" s="1" t="s">
        <v>23</v>
      </c>
      <c r="AB8" s="1" t="s">
        <v>24</v>
      </c>
      <c r="AC8" s="1" t="s">
        <v>25</v>
      </c>
      <c r="AD8" s="1" t="s">
        <v>26</v>
      </c>
      <c r="AE8" s="7" t="s">
        <v>27</v>
      </c>
      <c r="AF8" s="2"/>
      <c r="AG8" s="2"/>
      <c r="AH8" s="2"/>
      <c r="AI8" s="2"/>
      <c r="AJ8" s="2"/>
      <c r="AK8" s="2"/>
      <c r="AL8" s="2"/>
    </row>
    <row r="9" spans="1:38" ht="15" customHeight="1">
      <c r="A9" s="44" t="s">
        <v>28</v>
      </c>
      <c r="B9" s="42" t="s">
        <v>72</v>
      </c>
      <c r="C9" s="44" t="s">
        <v>29</v>
      </c>
      <c r="D9" s="10" t="s">
        <v>20</v>
      </c>
      <c r="E9" s="10" t="s">
        <v>15</v>
      </c>
      <c r="F9" s="10" t="s">
        <v>30</v>
      </c>
      <c r="G9" s="10" t="s">
        <v>15</v>
      </c>
      <c r="H9" s="10" t="s">
        <v>73</v>
      </c>
      <c r="I9" s="10" t="s">
        <v>15</v>
      </c>
      <c r="J9" s="10" t="s">
        <v>19</v>
      </c>
      <c r="K9" s="10" t="s">
        <v>20</v>
      </c>
      <c r="L9" s="10" t="s">
        <v>31</v>
      </c>
      <c r="M9" s="10" t="s">
        <v>31</v>
      </c>
      <c r="N9" s="10" t="s">
        <v>15</v>
      </c>
      <c r="O9" s="10" t="s">
        <v>15</v>
      </c>
      <c r="P9" s="10" t="s">
        <v>15</v>
      </c>
      <c r="Q9" s="10" t="s">
        <v>19</v>
      </c>
      <c r="R9" s="10" t="s">
        <v>20</v>
      </c>
      <c r="S9" s="10" t="s">
        <v>32</v>
      </c>
      <c r="T9" s="10" t="s">
        <v>32</v>
      </c>
      <c r="U9" s="10" t="s">
        <v>32</v>
      </c>
      <c r="V9" s="10" t="s">
        <v>15</v>
      </c>
      <c r="W9" s="10" t="s">
        <v>15</v>
      </c>
      <c r="X9" s="10" t="s">
        <v>19</v>
      </c>
      <c r="Y9" s="10" t="s">
        <v>20</v>
      </c>
      <c r="Z9" s="10" t="s">
        <v>15</v>
      </c>
      <c r="AA9" s="10" t="s">
        <v>15</v>
      </c>
      <c r="AB9" s="10" t="s">
        <v>15</v>
      </c>
      <c r="AC9" s="10" t="s">
        <v>33</v>
      </c>
      <c r="AD9" s="10" t="s">
        <v>15</v>
      </c>
      <c r="AE9" s="10" t="s">
        <v>19</v>
      </c>
      <c r="AF9" s="10">
        <f t="shared" ref="AF9:AF24" si="0">COUNTIF(D9:AE9,"D")</f>
        <v>13</v>
      </c>
      <c r="AG9" s="10">
        <f t="shared" ref="AG9:AG24" si="1">COUNTIF(D9:AE9,"E")</f>
        <v>0</v>
      </c>
      <c r="AH9" s="10">
        <f t="shared" ref="AH9:AH24" si="2">COUNTIF(D9:AE9,"N")</f>
        <v>0</v>
      </c>
      <c r="AI9" s="10">
        <f t="shared" ref="AI9:AI24" si="3">COUNTIF(D9:AE9,"T")</f>
        <v>0</v>
      </c>
      <c r="AJ9" s="10">
        <f t="shared" ref="AJ9:AJ24" si="4">COUNTIF(D9:AE9,"X")</f>
        <v>4</v>
      </c>
      <c r="AK9" s="10">
        <f t="shared" ref="AK9:AK24" si="5">28-AF9-AG9-AH9-AI9-AJ9</f>
        <v>11</v>
      </c>
      <c r="AL9" s="2">
        <f>SUM(AJ9:AK9)</f>
        <v>15</v>
      </c>
    </row>
    <row r="10" spans="1:38" ht="15" customHeight="1">
      <c r="A10" s="44" t="s">
        <v>34</v>
      </c>
      <c r="B10" s="42" t="s">
        <v>35</v>
      </c>
      <c r="C10" s="44" t="s">
        <v>36</v>
      </c>
      <c r="D10" s="10" t="s">
        <v>20</v>
      </c>
      <c r="E10" s="10" t="s">
        <v>15</v>
      </c>
      <c r="F10" s="10" t="s">
        <v>15</v>
      </c>
      <c r="G10" s="11" t="s">
        <v>15</v>
      </c>
      <c r="H10" s="11" t="s">
        <v>37</v>
      </c>
      <c r="I10" s="10" t="s">
        <v>38</v>
      </c>
      <c r="J10" s="10" t="s">
        <v>19</v>
      </c>
      <c r="K10" s="10" t="s">
        <v>20</v>
      </c>
      <c r="L10" s="10" t="s">
        <v>15</v>
      </c>
      <c r="M10" s="10" t="s">
        <v>15</v>
      </c>
      <c r="N10" s="10" t="s">
        <v>15</v>
      </c>
      <c r="O10" s="10" t="s">
        <v>15</v>
      </c>
      <c r="P10" s="10" t="s">
        <v>15</v>
      </c>
      <c r="Q10" s="10" t="s">
        <v>19</v>
      </c>
      <c r="R10" s="10" t="s">
        <v>20</v>
      </c>
      <c r="S10" s="10" t="s">
        <v>32</v>
      </c>
      <c r="T10" s="10" t="s">
        <v>32</v>
      </c>
      <c r="U10" s="10" t="s">
        <v>32</v>
      </c>
      <c r="V10" s="10" t="s">
        <v>15</v>
      </c>
      <c r="W10" s="10" t="s">
        <v>15</v>
      </c>
      <c r="X10" s="10" t="s">
        <v>19</v>
      </c>
      <c r="Y10" s="10" t="s">
        <v>20</v>
      </c>
      <c r="Z10" s="10" t="s">
        <v>15</v>
      </c>
      <c r="AA10" s="10" t="s">
        <v>15</v>
      </c>
      <c r="AB10" s="10" t="s">
        <v>33</v>
      </c>
      <c r="AC10" s="10" t="s">
        <v>15</v>
      </c>
      <c r="AD10" s="10" t="s">
        <v>15</v>
      </c>
      <c r="AE10" s="10" t="s">
        <v>19</v>
      </c>
      <c r="AF10" s="10">
        <f t="shared" si="0"/>
        <v>14</v>
      </c>
      <c r="AG10" s="10">
        <f t="shared" si="1"/>
        <v>0</v>
      </c>
      <c r="AH10" s="10">
        <f t="shared" si="2"/>
        <v>0</v>
      </c>
      <c r="AI10" s="10">
        <f t="shared" si="3"/>
        <v>0</v>
      </c>
      <c r="AJ10" s="10">
        <f t="shared" si="4"/>
        <v>4</v>
      </c>
      <c r="AK10" s="10">
        <f t="shared" si="5"/>
        <v>10</v>
      </c>
      <c r="AL10" s="2">
        <f t="shared" ref="AL10:AL24" si="6">SUM(AJ10:AK10)</f>
        <v>14</v>
      </c>
    </row>
    <row r="11" spans="1:38" ht="15" customHeight="1">
      <c r="A11" s="44" t="s">
        <v>39</v>
      </c>
      <c r="B11" s="42" t="s">
        <v>40</v>
      </c>
      <c r="C11" s="44" t="s">
        <v>41</v>
      </c>
      <c r="D11" s="10" t="s">
        <v>15</v>
      </c>
      <c r="E11" s="10" t="s">
        <v>15</v>
      </c>
      <c r="F11" s="10" t="s">
        <v>15</v>
      </c>
      <c r="G11" s="10" t="s">
        <v>16</v>
      </c>
      <c r="H11" s="11" t="s">
        <v>32</v>
      </c>
      <c r="I11" s="11" t="s">
        <v>33</v>
      </c>
      <c r="J11" s="10" t="s">
        <v>19</v>
      </c>
      <c r="K11" s="11" t="s">
        <v>20</v>
      </c>
      <c r="L11" s="10" t="s">
        <v>19</v>
      </c>
      <c r="M11" s="10" t="s">
        <v>17</v>
      </c>
      <c r="N11" s="10" t="s">
        <v>17</v>
      </c>
      <c r="O11" s="10" t="s">
        <v>20</v>
      </c>
      <c r="P11" s="10" t="s">
        <v>32</v>
      </c>
      <c r="Q11" s="10" t="s">
        <v>15</v>
      </c>
      <c r="R11" s="10" t="s">
        <v>16</v>
      </c>
      <c r="S11" s="10" t="s">
        <v>19</v>
      </c>
      <c r="T11" s="10" t="s">
        <v>20</v>
      </c>
      <c r="U11" s="10" t="s">
        <v>32</v>
      </c>
      <c r="V11" s="10" t="s">
        <v>15</v>
      </c>
      <c r="W11" s="10" t="s">
        <v>15</v>
      </c>
      <c r="X11" s="22" t="s">
        <v>15</v>
      </c>
      <c r="Y11" s="23" t="s">
        <v>38</v>
      </c>
      <c r="Z11" s="10" t="s">
        <v>15</v>
      </c>
      <c r="AA11" s="10" t="s">
        <v>15</v>
      </c>
      <c r="AB11" s="10" t="s">
        <v>15</v>
      </c>
      <c r="AC11" s="10" t="s">
        <v>17</v>
      </c>
      <c r="AD11" s="10" t="s">
        <v>17</v>
      </c>
      <c r="AE11" s="23" t="s">
        <v>19</v>
      </c>
      <c r="AF11" s="10">
        <f t="shared" si="0"/>
        <v>10</v>
      </c>
      <c r="AG11" s="10">
        <f t="shared" si="1"/>
        <v>2</v>
      </c>
      <c r="AH11" s="10">
        <f t="shared" si="2"/>
        <v>4</v>
      </c>
      <c r="AI11" s="10">
        <f t="shared" si="3"/>
        <v>0</v>
      </c>
      <c r="AJ11" s="10">
        <f t="shared" si="4"/>
        <v>4</v>
      </c>
      <c r="AK11" s="10">
        <f t="shared" si="5"/>
        <v>8</v>
      </c>
      <c r="AL11" s="2">
        <f t="shared" si="6"/>
        <v>12</v>
      </c>
    </row>
    <row r="12" spans="1:38" ht="15" customHeight="1">
      <c r="A12" s="44" t="s">
        <v>42</v>
      </c>
      <c r="B12" s="42" t="s">
        <v>43</v>
      </c>
      <c r="C12" s="44" t="s">
        <v>41</v>
      </c>
      <c r="D12" s="10" t="s">
        <v>17</v>
      </c>
      <c r="E12" s="10" t="s">
        <v>19</v>
      </c>
      <c r="F12" s="10" t="s">
        <v>20</v>
      </c>
      <c r="G12" s="11" t="s">
        <v>15</v>
      </c>
      <c r="H12" s="11" t="s">
        <v>15</v>
      </c>
      <c r="I12" s="11" t="s">
        <v>16</v>
      </c>
      <c r="J12" s="10" t="s">
        <v>16</v>
      </c>
      <c r="K12" s="10" t="s">
        <v>16</v>
      </c>
      <c r="L12" s="10" t="s">
        <v>19</v>
      </c>
      <c r="M12" s="10" t="s">
        <v>20</v>
      </c>
      <c r="N12" s="10" t="s">
        <v>33</v>
      </c>
      <c r="O12" s="10" t="s">
        <v>15</v>
      </c>
      <c r="P12" s="10" t="s">
        <v>16</v>
      </c>
      <c r="Q12" s="10" t="s">
        <v>17</v>
      </c>
      <c r="R12" s="10" t="s">
        <v>17</v>
      </c>
      <c r="S12" s="10" t="s">
        <v>19</v>
      </c>
      <c r="T12" s="11" t="s">
        <v>20</v>
      </c>
      <c r="U12" s="11" t="s">
        <v>15</v>
      </c>
      <c r="V12" s="11" t="s">
        <v>15</v>
      </c>
      <c r="W12" s="10" t="s">
        <v>15</v>
      </c>
      <c r="X12" s="10" t="s">
        <v>32</v>
      </c>
      <c r="Y12" s="10" t="s">
        <v>16</v>
      </c>
      <c r="Z12" s="10" t="s">
        <v>20</v>
      </c>
      <c r="AA12" s="10" t="s">
        <v>17</v>
      </c>
      <c r="AB12" s="10" t="s">
        <v>17</v>
      </c>
      <c r="AC12" s="11" t="s">
        <v>19</v>
      </c>
      <c r="AD12" s="10" t="s">
        <v>32</v>
      </c>
      <c r="AE12" s="10" t="s">
        <v>15</v>
      </c>
      <c r="AF12" s="10">
        <f t="shared" si="0"/>
        <v>7</v>
      </c>
      <c r="AG12" s="10">
        <f t="shared" si="1"/>
        <v>5</v>
      </c>
      <c r="AH12" s="10">
        <f t="shared" si="2"/>
        <v>5</v>
      </c>
      <c r="AI12" s="10">
        <f t="shared" si="3"/>
        <v>0</v>
      </c>
      <c r="AJ12" s="10">
        <f t="shared" si="4"/>
        <v>4</v>
      </c>
      <c r="AK12" s="10">
        <f t="shared" si="5"/>
        <v>7</v>
      </c>
      <c r="AL12" s="2">
        <f t="shared" si="6"/>
        <v>11</v>
      </c>
    </row>
    <row r="13" spans="1:38" ht="15" customHeight="1">
      <c r="A13" s="44" t="s">
        <v>44</v>
      </c>
      <c r="B13" s="42" t="s">
        <v>45</v>
      </c>
      <c r="C13" s="44" t="s">
        <v>41</v>
      </c>
      <c r="D13" s="10" t="s">
        <v>19</v>
      </c>
      <c r="E13" s="10" t="s">
        <v>15</v>
      </c>
      <c r="F13" s="10" t="s">
        <v>15</v>
      </c>
      <c r="G13" s="10" t="s">
        <v>20</v>
      </c>
      <c r="H13" s="11" t="s">
        <v>15</v>
      </c>
      <c r="I13" s="11" t="s">
        <v>15</v>
      </c>
      <c r="J13" s="10" t="s">
        <v>15</v>
      </c>
      <c r="K13" s="10" t="s">
        <v>17</v>
      </c>
      <c r="L13" s="10" t="s">
        <v>17</v>
      </c>
      <c r="M13" s="10" t="s">
        <v>33</v>
      </c>
      <c r="N13" s="10" t="s">
        <v>20</v>
      </c>
      <c r="O13" s="10" t="s">
        <v>16</v>
      </c>
      <c r="P13" s="11" t="s">
        <v>16</v>
      </c>
      <c r="Q13" s="10" t="s">
        <v>19</v>
      </c>
      <c r="R13" s="10" t="s">
        <v>15</v>
      </c>
      <c r="S13" s="11" t="s">
        <v>19</v>
      </c>
      <c r="T13" s="10" t="s">
        <v>20</v>
      </c>
      <c r="U13" s="11" t="s">
        <v>16</v>
      </c>
      <c r="V13" s="10" t="s">
        <v>16</v>
      </c>
      <c r="W13" s="10" t="s">
        <v>17</v>
      </c>
      <c r="X13" s="10" t="s">
        <v>17</v>
      </c>
      <c r="Y13" s="10" t="s">
        <v>32</v>
      </c>
      <c r="Z13" s="10" t="s">
        <v>19</v>
      </c>
      <c r="AA13" s="10" t="s">
        <v>15</v>
      </c>
      <c r="AB13" s="10" t="s">
        <v>15</v>
      </c>
      <c r="AC13" s="10" t="s">
        <v>16</v>
      </c>
      <c r="AD13" s="10" t="s">
        <v>20</v>
      </c>
      <c r="AE13" s="10" t="s">
        <v>32</v>
      </c>
      <c r="AF13" s="10">
        <f t="shared" si="0"/>
        <v>8</v>
      </c>
      <c r="AG13" s="10">
        <f t="shared" si="1"/>
        <v>5</v>
      </c>
      <c r="AH13" s="10">
        <f t="shared" si="2"/>
        <v>4</v>
      </c>
      <c r="AI13" s="10">
        <f t="shared" si="3"/>
        <v>0</v>
      </c>
      <c r="AJ13" s="10">
        <f t="shared" si="4"/>
        <v>4</v>
      </c>
      <c r="AK13" s="10">
        <f t="shared" si="5"/>
        <v>7</v>
      </c>
      <c r="AL13" s="2">
        <f t="shared" si="6"/>
        <v>11</v>
      </c>
    </row>
    <row r="14" spans="1:38" ht="15" customHeight="1">
      <c r="A14" s="44" t="s">
        <v>46</v>
      </c>
      <c r="B14" s="42" t="s">
        <v>47</v>
      </c>
      <c r="C14" s="44" t="s">
        <v>41</v>
      </c>
      <c r="D14" s="10" t="s">
        <v>32</v>
      </c>
      <c r="E14" s="10" t="s">
        <v>16</v>
      </c>
      <c r="F14" s="10" t="s">
        <v>16</v>
      </c>
      <c r="G14" s="10" t="s">
        <v>19</v>
      </c>
      <c r="H14" s="10" t="s">
        <v>16</v>
      </c>
      <c r="I14" s="10" t="s">
        <v>17</v>
      </c>
      <c r="J14" s="10" t="s">
        <v>17</v>
      </c>
      <c r="K14" s="10" t="s">
        <v>20</v>
      </c>
      <c r="L14" s="10" t="s">
        <v>33</v>
      </c>
      <c r="M14" s="10" t="s">
        <v>15</v>
      </c>
      <c r="N14" s="11" t="s">
        <v>15</v>
      </c>
      <c r="O14" s="10" t="s">
        <v>15</v>
      </c>
      <c r="P14" s="11" t="s">
        <v>20</v>
      </c>
      <c r="Q14" s="11" t="s">
        <v>19</v>
      </c>
      <c r="R14" s="11" t="s">
        <v>32</v>
      </c>
      <c r="S14" s="10" t="s">
        <v>32</v>
      </c>
      <c r="T14" s="10" t="s">
        <v>15</v>
      </c>
      <c r="U14" s="10" t="s">
        <v>17</v>
      </c>
      <c r="V14" s="10" t="s">
        <v>17</v>
      </c>
      <c r="W14" s="10" t="s">
        <v>19</v>
      </c>
      <c r="X14" s="10" t="s">
        <v>20</v>
      </c>
      <c r="Y14" s="10" t="s">
        <v>15</v>
      </c>
      <c r="Z14" s="10" t="s">
        <v>16</v>
      </c>
      <c r="AA14" s="10" t="s">
        <v>16</v>
      </c>
      <c r="AB14" s="10" t="s">
        <v>16</v>
      </c>
      <c r="AC14" s="10" t="s">
        <v>19</v>
      </c>
      <c r="AD14" s="10" t="s">
        <v>16</v>
      </c>
      <c r="AE14" s="10" t="s">
        <v>16</v>
      </c>
      <c r="AF14" s="10">
        <f t="shared" si="0"/>
        <v>5</v>
      </c>
      <c r="AG14" s="10">
        <f t="shared" si="1"/>
        <v>8</v>
      </c>
      <c r="AH14" s="10">
        <f t="shared" si="2"/>
        <v>4</v>
      </c>
      <c r="AI14" s="10">
        <f t="shared" si="3"/>
        <v>0</v>
      </c>
      <c r="AJ14" s="10">
        <f t="shared" si="4"/>
        <v>4</v>
      </c>
      <c r="AK14" s="10">
        <f t="shared" si="5"/>
        <v>7</v>
      </c>
      <c r="AL14" s="2">
        <f t="shared" si="6"/>
        <v>11</v>
      </c>
    </row>
    <row r="15" spans="1:38" ht="15" customHeight="1">
      <c r="A15" s="12" t="s">
        <v>48</v>
      </c>
      <c r="B15" s="13" t="s">
        <v>49</v>
      </c>
      <c r="C15" s="12" t="s">
        <v>41</v>
      </c>
      <c r="D15" s="14" t="s">
        <v>16</v>
      </c>
      <c r="E15" s="14" t="s">
        <v>16</v>
      </c>
      <c r="F15" s="14" t="s">
        <v>33</v>
      </c>
      <c r="G15" s="14" t="s">
        <v>17</v>
      </c>
      <c r="H15" s="14" t="s">
        <v>17</v>
      </c>
      <c r="I15" s="14" t="s">
        <v>20</v>
      </c>
      <c r="J15" s="14" t="s">
        <v>19</v>
      </c>
      <c r="K15" s="14" t="s">
        <v>15</v>
      </c>
      <c r="L15" s="14" t="s">
        <v>15</v>
      </c>
      <c r="M15" s="14" t="s">
        <v>16</v>
      </c>
      <c r="N15" s="11" t="s">
        <v>19</v>
      </c>
      <c r="O15" s="14" t="s">
        <v>20</v>
      </c>
      <c r="P15" s="11" t="s">
        <v>15</v>
      </c>
      <c r="Q15" s="11" t="s">
        <v>15</v>
      </c>
      <c r="R15" s="14" t="s">
        <v>15</v>
      </c>
      <c r="S15" s="14" t="s">
        <v>16</v>
      </c>
      <c r="T15" s="14" t="s">
        <v>19</v>
      </c>
      <c r="U15" s="14" t="s">
        <v>20</v>
      </c>
      <c r="V15" s="14" t="s">
        <v>16</v>
      </c>
      <c r="W15" s="14" t="s">
        <v>32</v>
      </c>
      <c r="X15" s="14" t="s">
        <v>16</v>
      </c>
      <c r="Y15" s="14" t="s">
        <v>17</v>
      </c>
      <c r="Z15" s="14" t="s">
        <v>17</v>
      </c>
      <c r="AA15" s="14" t="s">
        <v>19</v>
      </c>
      <c r="AB15" s="14" t="s">
        <v>20</v>
      </c>
      <c r="AC15" s="14" t="s">
        <v>15</v>
      </c>
      <c r="AD15" s="14" t="s">
        <v>15</v>
      </c>
      <c r="AE15" s="14" t="s">
        <v>15</v>
      </c>
      <c r="AF15" s="10">
        <f t="shared" si="0"/>
        <v>8</v>
      </c>
      <c r="AG15" s="10">
        <f t="shared" si="1"/>
        <v>6</v>
      </c>
      <c r="AH15" s="10">
        <f t="shared" si="2"/>
        <v>4</v>
      </c>
      <c r="AI15" s="10">
        <f t="shared" si="3"/>
        <v>0</v>
      </c>
      <c r="AJ15" s="10">
        <f t="shared" si="4"/>
        <v>4</v>
      </c>
      <c r="AK15" s="10">
        <f t="shared" si="5"/>
        <v>6</v>
      </c>
      <c r="AL15" s="2">
        <f t="shared" si="6"/>
        <v>10</v>
      </c>
    </row>
    <row r="16" spans="1:38" ht="15" customHeight="1">
      <c r="A16" s="12" t="s">
        <v>50</v>
      </c>
      <c r="B16" s="13" t="s">
        <v>51</v>
      </c>
      <c r="C16" s="12" t="s">
        <v>41</v>
      </c>
      <c r="D16" s="14" t="s">
        <v>32</v>
      </c>
      <c r="E16" s="14" t="s">
        <v>19</v>
      </c>
      <c r="F16" s="14" t="s">
        <v>16</v>
      </c>
      <c r="G16" s="14" t="s">
        <v>17</v>
      </c>
      <c r="H16" s="14" t="s">
        <v>17</v>
      </c>
      <c r="I16" s="14" t="s">
        <v>33</v>
      </c>
      <c r="J16" s="14" t="s">
        <v>20</v>
      </c>
      <c r="K16" s="14" t="s">
        <v>15</v>
      </c>
      <c r="L16" s="14" t="s">
        <v>16</v>
      </c>
      <c r="M16" s="14" t="s">
        <v>16</v>
      </c>
      <c r="N16" s="14" t="s">
        <v>16</v>
      </c>
      <c r="O16" s="14" t="s">
        <v>19</v>
      </c>
      <c r="P16" s="14" t="s">
        <v>20</v>
      </c>
      <c r="Q16" s="14" t="s">
        <v>16</v>
      </c>
      <c r="R16" s="14" t="s">
        <v>16</v>
      </c>
      <c r="S16" s="14" t="s">
        <v>17</v>
      </c>
      <c r="T16" s="14" t="s">
        <v>17</v>
      </c>
      <c r="U16" s="14" t="s">
        <v>19</v>
      </c>
      <c r="V16" s="14" t="s">
        <v>20</v>
      </c>
      <c r="W16" s="14" t="s">
        <v>16</v>
      </c>
      <c r="X16" s="14" t="s">
        <v>16</v>
      </c>
      <c r="Y16" s="11" t="s">
        <v>32</v>
      </c>
      <c r="Z16" s="11" t="s">
        <v>52</v>
      </c>
      <c r="AA16" s="14" t="s">
        <v>19</v>
      </c>
      <c r="AB16" s="14" t="s">
        <v>20</v>
      </c>
      <c r="AC16" s="14" t="s">
        <v>15</v>
      </c>
      <c r="AD16" s="14" t="s">
        <v>15</v>
      </c>
      <c r="AE16" s="14" t="s">
        <v>15</v>
      </c>
      <c r="AF16" s="10">
        <f t="shared" si="0"/>
        <v>4</v>
      </c>
      <c r="AG16" s="10">
        <f t="shared" si="1"/>
        <v>8</v>
      </c>
      <c r="AH16" s="10">
        <f t="shared" si="2"/>
        <v>4</v>
      </c>
      <c r="AI16" s="10">
        <f t="shared" si="3"/>
        <v>0</v>
      </c>
      <c r="AJ16" s="10">
        <f t="shared" si="4"/>
        <v>4</v>
      </c>
      <c r="AK16" s="10">
        <f t="shared" si="5"/>
        <v>8</v>
      </c>
      <c r="AL16" s="2">
        <f t="shared" si="6"/>
        <v>12</v>
      </c>
    </row>
    <row r="17" spans="1:38" ht="15" customHeight="1">
      <c r="A17" s="12" t="s">
        <v>53</v>
      </c>
      <c r="B17" s="13" t="s">
        <v>54</v>
      </c>
      <c r="C17" s="12" t="s">
        <v>41</v>
      </c>
      <c r="D17" s="14" t="s">
        <v>19</v>
      </c>
      <c r="E17" s="14" t="s">
        <v>20</v>
      </c>
      <c r="F17" s="14" t="s">
        <v>15</v>
      </c>
      <c r="G17" s="14" t="s">
        <v>15</v>
      </c>
      <c r="H17" s="14" t="s">
        <v>15</v>
      </c>
      <c r="I17" s="11" t="s">
        <v>52</v>
      </c>
      <c r="J17" s="14" t="s">
        <v>19</v>
      </c>
      <c r="K17" s="11" t="s">
        <v>32</v>
      </c>
      <c r="L17" s="11" t="s">
        <v>16</v>
      </c>
      <c r="M17" s="14" t="s">
        <v>17</v>
      </c>
      <c r="N17" s="14" t="s">
        <v>17</v>
      </c>
      <c r="O17" s="14" t="s">
        <v>19</v>
      </c>
      <c r="P17" s="14" t="s">
        <v>33</v>
      </c>
      <c r="Q17" s="14" t="s">
        <v>16</v>
      </c>
      <c r="R17" s="14" t="s">
        <v>20</v>
      </c>
      <c r="S17" s="14" t="s">
        <v>15</v>
      </c>
      <c r="T17" s="14" t="s">
        <v>15</v>
      </c>
      <c r="U17" s="14" t="s">
        <v>19</v>
      </c>
      <c r="V17" s="14" t="s">
        <v>20</v>
      </c>
      <c r="W17" s="14" t="s">
        <v>15</v>
      </c>
      <c r="X17" s="14" t="s">
        <v>15</v>
      </c>
      <c r="Y17" s="14" t="s">
        <v>17</v>
      </c>
      <c r="Z17" s="14" t="s">
        <v>17</v>
      </c>
      <c r="AA17" s="14" t="s">
        <v>19</v>
      </c>
      <c r="AB17" s="14" t="s">
        <v>20</v>
      </c>
      <c r="AC17" s="11" t="s">
        <v>16</v>
      </c>
      <c r="AD17" s="14" t="s">
        <v>16</v>
      </c>
      <c r="AE17" s="14" t="s">
        <v>16</v>
      </c>
      <c r="AF17" s="10">
        <f t="shared" si="0"/>
        <v>7</v>
      </c>
      <c r="AG17" s="10">
        <f t="shared" si="1"/>
        <v>5</v>
      </c>
      <c r="AH17" s="10">
        <f t="shared" si="2"/>
        <v>4</v>
      </c>
      <c r="AI17" s="10">
        <f t="shared" si="3"/>
        <v>0</v>
      </c>
      <c r="AJ17" s="10">
        <f t="shared" si="4"/>
        <v>5</v>
      </c>
      <c r="AK17" s="10">
        <f t="shared" si="5"/>
        <v>7</v>
      </c>
      <c r="AL17" s="2">
        <f t="shared" si="6"/>
        <v>12</v>
      </c>
    </row>
    <row r="18" spans="1:38" ht="15" customHeight="1">
      <c r="A18" s="12" t="s">
        <v>55</v>
      </c>
      <c r="B18" s="13" t="s">
        <v>56</v>
      </c>
      <c r="C18" s="12" t="s">
        <v>41</v>
      </c>
      <c r="D18" s="14" t="s">
        <v>16</v>
      </c>
      <c r="E18" s="14" t="s">
        <v>17</v>
      </c>
      <c r="F18" s="14" t="s">
        <v>17</v>
      </c>
      <c r="G18" s="14" t="s">
        <v>19</v>
      </c>
      <c r="H18" s="14" t="s">
        <v>33</v>
      </c>
      <c r="I18" s="14" t="s">
        <v>15</v>
      </c>
      <c r="J18" s="14" t="s">
        <v>15</v>
      </c>
      <c r="K18" s="14" t="s">
        <v>20</v>
      </c>
      <c r="L18" s="14" t="s">
        <v>15</v>
      </c>
      <c r="M18" s="14" t="s">
        <v>15</v>
      </c>
      <c r="N18" s="14" t="s">
        <v>16</v>
      </c>
      <c r="O18" s="14" t="s">
        <v>17</v>
      </c>
      <c r="P18" s="14" t="s">
        <v>17</v>
      </c>
      <c r="Q18" s="14" t="s">
        <v>19</v>
      </c>
      <c r="R18" s="14" t="s">
        <v>20</v>
      </c>
      <c r="S18" s="14" t="s">
        <v>15</v>
      </c>
      <c r="T18" s="14" t="s">
        <v>16</v>
      </c>
      <c r="U18" s="14" t="s">
        <v>16</v>
      </c>
      <c r="V18" s="14" t="s">
        <v>19</v>
      </c>
      <c r="W18" s="11" t="s">
        <v>20</v>
      </c>
      <c r="X18" s="14" t="s">
        <v>32</v>
      </c>
      <c r="Y18" s="14" t="s">
        <v>15</v>
      </c>
      <c r="Z18" s="14" t="s">
        <v>20</v>
      </c>
      <c r="AA18" s="11" t="s">
        <v>19</v>
      </c>
      <c r="AB18" s="14" t="s">
        <v>16</v>
      </c>
      <c r="AC18" s="14" t="s">
        <v>16</v>
      </c>
      <c r="AD18" s="14" t="s">
        <v>16</v>
      </c>
      <c r="AE18" s="14" t="s">
        <v>17</v>
      </c>
      <c r="AF18" s="10">
        <f t="shared" si="0"/>
        <v>6</v>
      </c>
      <c r="AG18" s="10">
        <f t="shared" si="1"/>
        <v>7</v>
      </c>
      <c r="AH18" s="10">
        <f t="shared" si="2"/>
        <v>5</v>
      </c>
      <c r="AI18" s="10">
        <f t="shared" si="3"/>
        <v>0</v>
      </c>
      <c r="AJ18" s="10">
        <f t="shared" si="4"/>
        <v>4</v>
      </c>
      <c r="AK18" s="10">
        <f t="shared" si="5"/>
        <v>6</v>
      </c>
      <c r="AL18" s="2">
        <f t="shared" si="6"/>
        <v>10</v>
      </c>
    </row>
    <row r="19" spans="1:38" ht="15" customHeight="1">
      <c r="A19" s="12" t="s">
        <v>57</v>
      </c>
      <c r="B19" s="13" t="s">
        <v>58</v>
      </c>
      <c r="C19" s="12" t="s">
        <v>41</v>
      </c>
      <c r="D19" s="14" t="s">
        <v>15</v>
      </c>
      <c r="E19" s="14" t="s">
        <v>15</v>
      </c>
      <c r="F19" s="14" t="s">
        <v>19</v>
      </c>
      <c r="G19" s="14" t="s">
        <v>16</v>
      </c>
      <c r="H19" s="14" t="s">
        <v>20</v>
      </c>
      <c r="I19" s="14" t="s">
        <v>17</v>
      </c>
      <c r="J19" s="14" t="s">
        <v>17</v>
      </c>
      <c r="K19" s="14" t="s">
        <v>20</v>
      </c>
      <c r="L19" s="14" t="s">
        <v>19</v>
      </c>
      <c r="M19" s="14" t="s">
        <v>15</v>
      </c>
      <c r="N19" s="14" t="s">
        <v>15</v>
      </c>
      <c r="O19" s="14" t="s">
        <v>16</v>
      </c>
      <c r="P19" s="14" t="s">
        <v>20</v>
      </c>
      <c r="Q19" s="14" t="s">
        <v>32</v>
      </c>
      <c r="R19" s="14" t="s">
        <v>15</v>
      </c>
      <c r="S19" s="14" t="s">
        <v>17</v>
      </c>
      <c r="T19" s="14" t="s">
        <v>17</v>
      </c>
      <c r="U19" s="14" t="s">
        <v>33</v>
      </c>
      <c r="V19" s="14" t="s">
        <v>20</v>
      </c>
      <c r="W19" s="14" t="s">
        <v>16</v>
      </c>
      <c r="X19" s="14" t="s">
        <v>19</v>
      </c>
      <c r="Y19" s="14" t="s">
        <v>16</v>
      </c>
      <c r="Z19" s="14" t="s">
        <v>16</v>
      </c>
      <c r="AA19" s="14" t="s">
        <v>16</v>
      </c>
      <c r="AB19" s="14" t="s">
        <v>16</v>
      </c>
      <c r="AC19" s="14" t="s">
        <v>19</v>
      </c>
      <c r="AD19" s="14" t="s">
        <v>20</v>
      </c>
      <c r="AE19" s="14" t="s">
        <v>17</v>
      </c>
      <c r="AF19" s="10">
        <f t="shared" si="0"/>
        <v>5</v>
      </c>
      <c r="AG19" s="10">
        <f t="shared" si="1"/>
        <v>7</v>
      </c>
      <c r="AH19" s="10">
        <f t="shared" si="2"/>
        <v>5</v>
      </c>
      <c r="AI19" s="10">
        <f t="shared" si="3"/>
        <v>0</v>
      </c>
      <c r="AJ19" s="10">
        <f t="shared" si="4"/>
        <v>4</v>
      </c>
      <c r="AK19" s="10">
        <f t="shared" si="5"/>
        <v>7</v>
      </c>
      <c r="AL19" s="2">
        <f t="shared" si="6"/>
        <v>11</v>
      </c>
    </row>
    <row r="20" spans="1:38" ht="15" customHeight="1">
      <c r="A20" s="44" t="s">
        <v>59</v>
      </c>
      <c r="B20" s="42" t="s">
        <v>60</v>
      </c>
      <c r="C20" s="44" t="s">
        <v>41</v>
      </c>
      <c r="D20" s="10" t="s">
        <v>20</v>
      </c>
      <c r="E20" s="10" t="s">
        <v>16</v>
      </c>
      <c r="F20" s="10" t="s">
        <v>16</v>
      </c>
      <c r="G20" s="10" t="s">
        <v>19</v>
      </c>
      <c r="H20" s="10" t="s">
        <v>16</v>
      </c>
      <c r="I20" s="10" t="s">
        <v>16</v>
      </c>
      <c r="J20" s="10" t="s">
        <v>16</v>
      </c>
      <c r="K20" s="10" t="s">
        <v>20</v>
      </c>
      <c r="L20" s="10" t="s">
        <v>15</v>
      </c>
      <c r="M20" s="10" t="s">
        <v>15</v>
      </c>
      <c r="N20" s="10" t="s">
        <v>15</v>
      </c>
      <c r="O20" s="10" t="s">
        <v>17</v>
      </c>
      <c r="P20" s="10" t="s">
        <v>17</v>
      </c>
      <c r="Q20" s="10" t="s">
        <v>19</v>
      </c>
      <c r="R20" s="10" t="s">
        <v>20</v>
      </c>
      <c r="S20" s="10" t="s">
        <v>16</v>
      </c>
      <c r="T20" s="10" t="s">
        <v>16</v>
      </c>
      <c r="U20" s="10" t="s">
        <v>19</v>
      </c>
      <c r="V20" s="10" t="s">
        <v>20</v>
      </c>
      <c r="W20" s="10" t="s">
        <v>33</v>
      </c>
      <c r="X20" s="10" t="s">
        <v>15</v>
      </c>
      <c r="Y20" s="10" t="s">
        <v>32</v>
      </c>
      <c r="Z20" s="10" t="s">
        <v>15</v>
      </c>
      <c r="AA20" s="10" t="s">
        <v>16</v>
      </c>
      <c r="AB20" s="10" t="s">
        <v>19</v>
      </c>
      <c r="AC20" s="10" t="s">
        <v>17</v>
      </c>
      <c r="AD20" s="10" t="s">
        <v>17</v>
      </c>
      <c r="AE20" s="10" t="s">
        <v>20</v>
      </c>
      <c r="AF20" s="10">
        <f t="shared" si="0"/>
        <v>5</v>
      </c>
      <c r="AG20" s="10">
        <f t="shared" si="1"/>
        <v>8</v>
      </c>
      <c r="AH20" s="10">
        <f t="shared" si="2"/>
        <v>4</v>
      </c>
      <c r="AI20" s="10">
        <f t="shared" si="3"/>
        <v>0</v>
      </c>
      <c r="AJ20" s="10">
        <f t="shared" si="4"/>
        <v>4</v>
      </c>
      <c r="AK20" s="10">
        <f t="shared" si="5"/>
        <v>7</v>
      </c>
      <c r="AL20" s="2">
        <f t="shared" si="6"/>
        <v>11</v>
      </c>
    </row>
    <row r="21" spans="1:38" ht="15" customHeight="1">
      <c r="A21" s="44" t="s">
        <v>61</v>
      </c>
      <c r="B21" s="42" t="s">
        <v>62</v>
      </c>
      <c r="C21" s="44" t="s">
        <v>41</v>
      </c>
      <c r="D21" s="10" t="s">
        <v>17</v>
      </c>
      <c r="E21" s="10" t="s">
        <v>19</v>
      </c>
      <c r="F21" s="10" t="s">
        <v>32</v>
      </c>
      <c r="G21" s="10" t="s">
        <v>15</v>
      </c>
      <c r="H21" s="10" t="s">
        <v>15</v>
      </c>
      <c r="I21" s="10" t="s">
        <v>15</v>
      </c>
      <c r="J21" s="10" t="s">
        <v>20</v>
      </c>
      <c r="K21" s="10" t="s">
        <v>16</v>
      </c>
      <c r="L21" s="10" t="s">
        <v>16</v>
      </c>
      <c r="M21" s="10" t="s">
        <v>16</v>
      </c>
      <c r="N21" s="10" t="s">
        <v>19</v>
      </c>
      <c r="O21" s="10" t="s">
        <v>20</v>
      </c>
      <c r="P21" s="10" t="s">
        <v>15</v>
      </c>
      <c r="Q21" s="10" t="s">
        <v>17</v>
      </c>
      <c r="R21" s="10" t="s">
        <v>17</v>
      </c>
      <c r="S21" s="10" t="s">
        <v>19</v>
      </c>
      <c r="T21" s="10" t="s">
        <v>20</v>
      </c>
      <c r="U21" s="10" t="s">
        <v>15</v>
      </c>
      <c r="V21" s="10" t="s">
        <v>15</v>
      </c>
      <c r="W21" s="10" t="s">
        <v>16</v>
      </c>
      <c r="X21" s="10" t="s">
        <v>32</v>
      </c>
      <c r="Y21" s="10" t="s">
        <v>32</v>
      </c>
      <c r="Z21" s="10" t="s">
        <v>16</v>
      </c>
      <c r="AA21" s="10" t="s">
        <v>17</v>
      </c>
      <c r="AB21" s="10" t="s">
        <v>17</v>
      </c>
      <c r="AC21" s="10" t="s">
        <v>19</v>
      </c>
      <c r="AD21" s="10" t="s">
        <v>20</v>
      </c>
      <c r="AE21" s="10" t="s">
        <v>32</v>
      </c>
      <c r="AF21" s="10">
        <f t="shared" si="0"/>
        <v>6</v>
      </c>
      <c r="AG21" s="10">
        <f t="shared" si="1"/>
        <v>5</v>
      </c>
      <c r="AH21" s="10">
        <f t="shared" si="2"/>
        <v>5</v>
      </c>
      <c r="AI21" s="10">
        <f t="shared" si="3"/>
        <v>0</v>
      </c>
      <c r="AJ21" s="10">
        <f t="shared" si="4"/>
        <v>4</v>
      </c>
      <c r="AK21" s="10">
        <f t="shared" si="5"/>
        <v>8</v>
      </c>
      <c r="AL21" s="2">
        <f t="shared" si="6"/>
        <v>12</v>
      </c>
    </row>
    <row r="22" spans="1:38" ht="15" customHeight="1">
      <c r="A22" s="44" t="s">
        <v>63</v>
      </c>
      <c r="B22" s="42" t="s">
        <v>64</v>
      </c>
      <c r="C22" s="44" t="s">
        <v>41</v>
      </c>
      <c r="D22" s="10" t="s">
        <v>15</v>
      </c>
      <c r="E22" s="10" t="s">
        <v>17</v>
      </c>
      <c r="F22" s="10" t="s">
        <v>17</v>
      </c>
      <c r="G22" s="10" t="s">
        <v>19</v>
      </c>
      <c r="H22" s="10" t="s">
        <v>20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33</v>
      </c>
      <c r="N22" s="10" t="s">
        <v>16</v>
      </c>
      <c r="O22" s="10" t="s">
        <v>16</v>
      </c>
      <c r="P22" s="10" t="s">
        <v>16</v>
      </c>
      <c r="Q22" s="10" t="s">
        <v>20</v>
      </c>
      <c r="R22" s="10" t="s">
        <v>19</v>
      </c>
      <c r="S22" s="10" t="s">
        <v>15</v>
      </c>
      <c r="T22" s="10" t="s">
        <v>19</v>
      </c>
      <c r="U22" s="10" t="s">
        <v>15</v>
      </c>
      <c r="V22" s="10" t="s">
        <v>16</v>
      </c>
      <c r="W22" s="10" t="s">
        <v>17</v>
      </c>
      <c r="X22" s="10" t="s">
        <v>17</v>
      </c>
      <c r="Y22" s="10" t="s">
        <v>20</v>
      </c>
      <c r="Z22" s="10" t="s">
        <v>19</v>
      </c>
      <c r="AA22" s="10" t="s">
        <v>15</v>
      </c>
      <c r="AB22" s="10" t="s">
        <v>15</v>
      </c>
      <c r="AC22" s="10" t="s">
        <v>15</v>
      </c>
      <c r="AD22" s="10" t="s">
        <v>20</v>
      </c>
      <c r="AE22" s="10" t="s">
        <v>32</v>
      </c>
      <c r="AF22" s="10">
        <f t="shared" si="0"/>
        <v>10</v>
      </c>
      <c r="AG22" s="10">
        <f t="shared" si="1"/>
        <v>4</v>
      </c>
      <c r="AH22" s="10">
        <f t="shared" si="2"/>
        <v>4</v>
      </c>
      <c r="AI22" s="10">
        <f t="shared" si="3"/>
        <v>0</v>
      </c>
      <c r="AJ22" s="10">
        <f t="shared" si="4"/>
        <v>4</v>
      </c>
      <c r="AK22" s="10">
        <f t="shared" si="5"/>
        <v>6</v>
      </c>
      <c r="AL22" s="2">
        <f t="shared" si="6"/>
        <v>10</v>
      </c>
    </row>
    <row r="23" spans="1:38" ht="15" customHeight="1">
      <c r="A23" s="44" t="s">
        <v>65</v>
      </c>
      <c r="B23" s="42" t="s">
        <v>66</v>
      </c>
      <c r="C23" s="44" t="s">
        <v>41</v>
      </c>
      <c r="D23" s="11" t="s">
        <v>32</v>
      </c>
      <c r="E23" s="11" t="s">
        <v>20</v>
      </c>
      <c r="F23" s="10" t="s">
        <v>15</v>
      </c>
      <c r="G23" s="10" t="s">
        <v>16</v>
      </c>
      <c r="H23" s="10" t="s">
        <v>16</v>
      </c>
      <c r="I23" s="10" t="s">
        <v>16</v>
      </c>
      <c r="J23" s="10" t="s">
        <v>19</v>
      </c>
      <c r="K23" s="10" t="s">
        <v>17</v>
      </c>
      <c r="L23" s="10" t="s">
        <v>17</v>
      </c>
      <c r="M23" s="10" t="s">
        <v>19</v>
      </c>
      <c r="N23" s="10" t="s">
        <v>33</v>
      </c>
      <c r="O23" s="10" t="s">
        <v>15</v>
      </c>
      <c r="P23" s="10" t="s">
        <v>15</v>
      </c>
      <c r="Q23" s="10" t="s">
        <v>15</v>
      </c>
      <c r="R23" s="10" t="s">
        <v>20</v>
      </c>
      <c r="S23" s="10" t="s">
        <v>20</v>
      </c>
      <c r="T23" s="10" t="s">
        <v>15</v>
      </c>
      <c r="U23" s="11" t="s">
        <v>17</v>
      </c>
      <c r="V23" s="10" t="s">
        <v>17</v>
      </c>
      <c r="W23" s="10" t="s">
        <v>19</v>
      </c>
      <c r="X23" s="10" t="s">
        <v>32</v>
      </c>
      <c r="Y23" s="10" t="s">
        <v>15</v>
      </c>
      <c r="Z23" s="10" t="s">
        <v>15</v>
      </c>
      <c r="AA23" s="10" t="s">
        <v>19</v>
      </c>
      <c r="AB23" s="10" t="s">
        <v>15</v>
      </c>
      <c r="AC23" s="10" t="s">
        <v>15</v>
      </c>
      <c r="AD23" s="10" t="s">
        <v>15</v>
      </c>
      <c r="AE23" s="10" t="s">
        <v>20</v>
      </c>
      <c r="AF23" s="10">
        <f t="shared" si="0"/>
        <v>10</v>
      </c>
      <c r="AG23" s="10">
        <f t="shared" si="1"/>
        <v>3</v>
      </c>
      <c r="AH23" s="10">
        <f t="shared" si="2"/>
        <v>4</v>
      </c>
      <c r="AI23" s="10">
        <f t="shared" si="3"/>
        <v>0</v>
      </c>
      <c r="AJ23" s="10">
        <f t="shared" si="4"/>
        <v>4</v>
      </c>
      <c r="AK23" s="10">
        <f t="shared" si="5"/>
        <v>7</v>
      </c>
      <c r="AL23" s="2">
        <f t="shared" si="6"/>
        <v>11</v>
      </c>
    </row>
    <row r="24" spans="1:38" ht="15" hidden="1" customHeight="1">
      <c r="A24" s="44" t="s">
        <v>67</v>
      </c>
      <c r="B24" s="42" t="s">
        <v>68</v>
      </c>
      <c r="C24" s="44" t="s">
        <v>41</v>
      </c>
      <c r="D24" s="10" t="s">
        <v>69</v>
      </c>
      <c r="E24" s="10" t="s">
        <v>69</v>
      </c>
      <c r="F24" s="10" t="s">
        <v>69</v>
      </c>
      <c r="G24" s="10" t="s">
        <v>69</v>
      </c>
      <c r="H24" s="10" t="s">
        <v>69</v>
      </c>
      <c r="I24" s="10" t="s">
        <v>69</v>
      </c>
      <c r="J24" s="10" t="s">
        <v>69</v>
      </c>
      <c r="K24" s="10" t="s">
        <v>69</v>
      </c>
      <c r="L24" s="10" t="s">
        <v>69</v>
      </c>
      <c r="M24" s="10" t="s">
        <v>69</v>
      </c>
      <c r="N24" s="10" t="s">
        <v>69</v>
      </c>
      <c r="O24" s="10" t="s">
        <v>69</v>
      </c>
      <c r="P24" s="10" t="s">
        <v>69</v>
      </c>
      <c r="Q24" s="10" t="s">
        <v>69</v>
      </c>
      <c r="R24" s="10" t="s">
        <v>69</v>
      </c>
      <c r="S24" s="10" t="s">
        <v>69</v>
      </c>
      <c r="T24" s="10" t="s">
        <v>69</v>
      </c>
      <c r="U24" s="10" t="s">
        <v>69</v>
      </c>
      <c r="V24" s="10" t="s">
        <v>69</v>
      </c>
      <c r="W24" s="10" t="s">
        <v>69</v>
      </c>
      <c r="X24" s="10" t="s">
        <v>69</v>
      </c>
      <c r="Y24" s="10" t="s">
        <v>69</v>
      </c>
      <c r="Z24" s="10" t="s">
        <v>69</v>
      </c>
      <c r="AA24" s="10" t="s">
        <v>69</v>
      </c>
      <c r="AB24" s="10" t="s">
        <v>69</v>
      </c>
      <c r="AC24" s="10" t="s">
        <v>69</v>
      </c>
      <c r="AD24" s="10" t="s">
        <v>69</v>
      </c>
      <c r="AE24" s="10" t="s">
        <v>69</v>
      </c>
      <c r="AF24" s="10">
        <f t="shared" si="0"/>
        <v>0</v>
      </c>
      <c r="AG24" s="10">
        <f t="shared" si="1"/>
        <v>0</v>
      </c>
      <c r="AH24" s="10">
        <f t="shared" si="2"/>
        <v>0</v>
      </c>
      <c r="AI24" s="10">
        <f t="shared" si="3"/>
        <v>0</v>
      </c>
      <c r="AJ24" s="10">
        <f t="shared" si="4"/>
        <v>0</v>
      </c>
      <c r="AK24" s="10">
        <f t="shared" si="5"/>
        <v>28</v>
      </c>
      <c r="AL24" s="2">
        <f t="shared" si="6"/>
        <v>28</v>
      </c>
    </row>
    <row r="25" spans="1:38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5" t="s">
        <v>70</v>
      </c>
      <c r="AF25" s="46">
        <f t="shared" ref="AF25:AK25" si="7">SUM(AF9:AF24)</f>
        <v>118</v>
      </c>
      <c r="AG25" s="46">
        <f t="shared" si="7"/>
        <v>73</v>
      </c>
      <c r="AH25" s="46">
        <f t="shared" si="7"/>
        <v>56</v>
      </c>
      <c r="AI25" s="46">
        <f t="shared" si="7"/>
        <v>0</v>
      </c>
      <c r="AJ25" s="46">
        <f t="shared" si="7"/>
        <v>61</v>
      </c>
      <c r="AK25" s="46">
        <f t="shared" si="7"/>
        <v>140</v>
      </c>
    </row>
    <row r="26" spans="1:38" ht="15" customHeight="1">
      <c r="A26" s="96" t="s">
        <v>11</v>
      </c>
      <c r="B26" s="96"/>
      <c r="C26" s="96"/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42" t="s">
        <v>71</v>
      </c>
    </row>
    <row r="27" spans="1:38" ht="15" customHeight="1">
      <c r="A27" s="93" t="s">
        <v>15</v>
      </c>
      <c r="B27" s="93"/>
      <c r="C27" s="93"/>
      <c r="D27" s="1">
        <f>COUNTIF(D9:D23,"D")</f>
        <v>3</v>
      </c>
      <c r="E27" s="1">
        <f t="shared" ref="E27:AE27" si="8">COUNTIF(E9:E23,"D")</f>
        <v>5</v>
      </c>
      <c r="F27" s="1">
        <f t="shared" si="8"/>
        <v>5</v>
      </c>
      <c r="G27" s="1">
        <f t="shared" si="8"/>
        <v>5</v>
      </c>
      <c r="H27" s="1">
        <f t="shared" si="8"/>
        <v>5</v>
      </c>
      <c r="I27" s="1">
        <f t="shared" si="8"/>
        <v>5</v>
      </c>
      <c r="J27" s="1">
        <f t="shared" si="8"/>
        <v>3</v>
      </c>
      <c r="K27" s="1">
        <f t="shared" si="8"/>
        <v>3</v>
      </c>
      <c r="L27" s="1">
        <f t="shared" si="8"/>
        <v>5</v>
      </c>
      <c r="M27" s="1">
        <f t="shared" si="8"/>
        <v>5</v>
      </c>
      <c r="N27" s="1">
        <f t="shared" si="8"/>
        <v>5</v>
      </c>
      <c r="O27" s="1">
        <f t="shared" si="8"/>
        <v>5</v>
      </c>
      <c r="P27" s="1">
        <f t="shared" si="8"/>
        <v>5</v>
      </c>
      <c r="Q27" s="1">
        <f t="shared" si="8"/>
        <v>3</v>
      </c>
      <c r="R27" s="1">
        <f t="shared" si="8"/>
        <v>3</v>
      </c>
      <c r="S27" s="1">
        <f t="shared" si="8"/>
        <v>3</v>
      </c>
      <c r="T27" s="1">
        <f t="shared" si="8"/>
        <v>3</v>
      </c>
      <c r="U27" s="1">
        <f t="shared" si="8"/>
        <v>3</v>
      </c>
      <c r="V27" s="1">
        <f t="shared" si="8"/>
        <v>5</v>
      </c>
      <c r="W27" s="1">
        <f t="shared" si="8"/>
        <v>5</v>
      </c>
      <c r="X27" s="1">
        <f t="shared" si="8"/>
        <v>3</v>
      </c>
      <c r="Y27" s="1">
        <f t="shared" si="8"/>
        <v>3</v>
      </c>
      <c r="Z27" s="1">
        <f t="shared" si="8"/>
        <v>5</v>
      </c>
      <c r="AA27" s="1">
        <f t="shared" si="8"/>
        <v>5</v>
      </c>
      <c r="AB27" s="1">
        <f t="shared" si="8"/>
        <v>5</v>
      </c>
      <c r="AC27" s="1">
        <f t="shared" si="8"/>
        <v>5</v>
      </c>
      <c r="AD27" s="1">
        <f t="shared" si="8"/>
        <v>5</v>
      </c>
      <c r="AE27" s="1">
        <f t="shared" si="8"/>
        <v>3</v>
      </c>
      <c r="AF27" s="1"/>
      <c r="AG27" s="1"/>
      <c r="AH27" s="1"/>
      <c r="AI27" s="44"/>
    </row>
    <row r="28" spans="1:38" ht="15" customHeight="1">
      <c r="A28" s="93" t="s">
        <v>16</v>
      </c>
      <c r="B28" s="93"/>
      <c r="C28" s="93"/>
      <c r="D28" s="1">
        <f>COUNTIF(D9:D23,"E")</f>
        <v>2</v>
      </c>
      <c r="E28" s="1">
        <f t="shared" ref="E28:AE28" si="9">COUNTIF(E9:E23,"E")</f>
        <v>3</v>
      </c>
      <c r="F28" s="1">
        <f t="shared" si="9"/>
        <v>3</v>
      </c>
      <c r="G28" s="1">
        <f t="shared" si="9"/>
        <v>3</v>
      </c>
      <c r="H28" s="1">
        <f t="shared" si="9"/>
        <v>3</v>
      </c>
      <c r="I28" s="1">
        <f t="shared" si="9"/>
        <v>3</v>
      </c>
      <c r="J28" s="1">
        <f t="shared" si="9"/>
        <v>2</v>
      </c>
      <c r="K28" s="1">
        <f t="shared" si="9"/>
        <v>2</v>
      </c>
      <c r="L28" s="1">
        <f t="shared" si="9"/>
        <v>3</v>
      </c>
      <c r="M28" s="1">
        <f t="shared" si="9"/>
        <v>3</v>
      </c>
      <c r="N28" s="1">
        <f t="shared" si="9"/>
        <v>3</v>
      </c>
      <c r="O28" s="1">
        <f t="shared" si="9"/>
        <v>3</v>
      </c>
      <c r="P28" s="1">
        <f t="shared" si="9"/>
        <v>3</v>
      </c>
      <c r="Q28" s="1">
        <f t="shared" si="9"/>
        <v>2</v>
      </c>
      <c r="R28" s="1">
        <f t="shared" si="9"/>
        <v>2</v>
      </c>
      <c r="S28" s="1">
        <f t="shared" si="9"/>
        <v>2</v>
      </c>
      <c r="T28" s="1">
        <f t="shared" si="9"/>
        <v>2</v>
      </c>
      <c r="U28" s="1">
        <f t="shared" si="9"/>
        <v>2</v>
      </c>
      <c r="V28" s="1">
        <f t="shared" si="9"/>
        <v>3</v>
      </c>
      <c r="W28" s="1">
        <f t="shared" si="9"/>
        <v>3</v>
      </c>
      <c r="X28" s="1">
        <f t="shared" si="9"/>
        <v>2</v>
      </c>
      <c r="Y28" s="1">
        <f t="shared" si="9"/>
        <v>2</v>
      </c>
      <c r="Z28" s="1">
        <f t="shared" si="9"/>
        <v>3</v>
      </c>
      <c r="AA28" s="1">
        <f t="shared" si="9"/>
        <v>3</v>
      </c>
      <c r="AB28" s="1">
        <f t="shared" si="9"/>
        <v>3</v>
      </c>
      <c r="AC28" s="1">
        <f t="shared" si="9"/>
        <v>3</v>
      </c>
      <c r="AD28" s="1">
        <f t="shared" si="9"/>
        <v>3</v>
      </c>
      <c r="AE28" s="1">
        <f t="shared" si="9"/>
        <v>2</v>
      </c>
      <c r="AF28" s="1"/>
      <c r="AG28" s="1"/>
      <c r="AH28" s="1"/>
      <c r="AI28" s="44"/>
    </row>
    <row r="29" spans="1:38" ht="15" customHeight="1">
      <c r="A29" s="93" t="s">
        <v>17</v>
      </c>
      <c r="B29" s="93"/>
      <c r="C29" s="93"/>
      <c r="D29" s="1">
        <f>COUNTIF(D9:D23,"N")</f>
        <v>2</v>
      </c>
      <c r="E29" s="1">
        <f t="shared" ref="E29:AE29" si="10">COUNTIF(E9:E23,"N")</f>
        <v>2</v>
      </c>
      <c r="F29" s="1">
        <f t="shared" si="10"/>
        <v>2</v>
      </c>
      <c r="G29" s="1">
        <f t="shared" si="10"/>
        <v>2</v>
      </c>
      <c r="H29" s="1">
        <f t="shared" si="10"/>
        <v>2</v>
      </c>
      <c r="I29" s="1">
        <f t="shared" si="10"/>
        <v>2</v>
      </c>
      <c r="J29" s="1">
        <f t="shared" si="10"/>
        <v>2</v>
      </c>
      <c r="K29" s="1">
        <f t="shared" si="10"/>
        <v>2</v>
      </c>
      <c r="L29" s="1">
        <f t="shared" si="10"/>
        <v>2</v>
      </c>
      <c r="M29" s="1">
        <f t="shared" si="10"/>
        <v>2</v>
      </c>
      <c r="N29" s="1">
        <f t="shared" si="10"/>
        <v>2</v>
      </c>
      <c r="O29" s="1">
        <f t="shared" si="10"/>
        <v>2</v>
      </c>
      <c r="P29" s="1">
        <f t="shared" si="10"/>
        <v>2</v>
      </c>
      <c r="Q29" s="1">
        <f t="shared" si="10"/>
        <v>2</v>
      </c>
      <c r="R29" s="1">
        <f t="shared" si="10"/>
        <v>2</v>
      </c>
      <c r="S29" s="1">
        <f t="shared" si="10"/>
        <v>2</v>
      </c>
      <c r="T29" s="1">
        <f t="shared" si="10"/>
        <v>2</v>
      </c>
      <c r="U29" s="1">
        <f t="shared" si="10"/>
        <v>2</v>
      </c>
      <c r="V29" s="1">
        <f t="shared" si="10"/>
        <v>2</v>
      </c>
      <c r="W29" s="1">
        <f t="shared" si="10"/>
        <v>2</v>
      </c>
      <c r="X29" s="1">
        <f t="shared" si="10"/>
        <v>2</v>
      </c>
      <c r="Y29" s="1">
        <f t="shared" si="10"/>
        <v>2</v>
      </c>
      <c r="Z29" s="1">
        <f t="shared" si="10"/>
        <v>2</v>
      </c>
      <c r="AA29" s="1">
        <f t="shared" si="10"/>
        <v>2</v>
      </c>
      <c r="AB29" s="1">
        <f t="shared" si="10"/>
        <v>2</v>
      </c>
      <c r="AC29" s="1">
        <f t="shared" si="10"/>
        <v>2</v>
      </c>
      <c r="AD29" s="1">
        <f t="shared" si="10"/>
        <v>2</v>
      </c>
      <c r="AE29" s="1">
        <f t="shared" si="10"/>
        <v>2</v>
      </c>
      <c r="AF29" s="1"/>
      <c r="AG29" s="1"/>
      <c r="AH29" s="1"/>
      <c r="AI29" s="44"/>
    </row>
    <row r="30" spans="1:38" ht="15" customHeight="1">
      <c r="A30" s="93" t="s">
        <v>18</v>
      </c>
      <c r="B30" s="93"/>
      <c r="C30" s="93"/>
      <c r="D30" s="1">
        <f>COUNTIF(D9:D23,"T")</f>
        <v>0</v>
      </c>
      <c r="E30" s="1">
        <f t="shared" ref="E30:AE30" si="11">COUNTIF(E9:E23,"T")</f>
        <v>0</v>
      </c>
      <c r="F30" s="1">
        <f t="shared" si="11"/>
        <v>0</v>
      </c>
      <c r="G30" s="1">
        <f t="shared" si="11"/>
        <v>0</v>
      </c>
      <c r="H30" s="1">
        <f t="shared" si="11"/>
        <v>0</v>
      </c>
      <c r="I30" s="1">
        <f t="shared" si="11"/>
        <v>0</v>
      </c>
      <c r="J30" s="1">
        <f t="shared" si="11"/>
        <v>0</v>
      </c>
      <c r="K30" s="1">
        <f t="shared" si="11"/>
        <v>0</v>
      </c>
      <c r="L30" s="1">
        <f t="shared" si="11"/>
        <v>0</v>
      </c>
      <c r="M30" s="1">
        <f t="shared" si="11"/>
        <v>0</v>
      </c>
      <c r="N30" s="1">
        <f t="shared" si="11"/>
        <v>0</v>
      </c>
      <c r="O30" s="1">
        <f t="shared" si="11"/>
        <v>0</v>
      </c>
      <c r="P30" s="1">
        <f t="shared" si="11"/>
        <v>0</v>
      </c>
      <c r="Q30" s="1">
        <f t="shared" si="11"/>
        <v>0</v>
      </c>
      <c r="R30" s="1">
        <f t="shared" si="11"/>
        <v>0</v>
      </c>
      <c r="S30" s="1">
        <f t="shared" si="11"/>
        <v>0</v>
      </c>
      <c r="T30" s="1">
        <f t="shared" si="11"/>
        <v>0</v>
      </c>
      <c r="U30" s="1">
        <f t="shared" si="11"/>
        <v>0</v>
      </c>
      <c r="V30" s="1">
        <f t="shared" si="11"/>
        <v>0</v>
      </c>
      <c r="W30" s="1">
        <f t="shared" si="11"/>
        <v>0</v>
      </c>
      <c r="X30" s="1">
        <f t="shared" si="11"/>
        <v>0</v>
      </c>
      <c r="Y30" s="1">
        <f t="shared" si="11"/>
        <v>0</v>
      </c>
      <c r="Z30" s="1">
        <f t="shared" si="11"/>
        <v>0</v>
      </c>
      <c r="AA30" s="1">
        <f t="shared" si="11"/>
        <v>0</v>
      </c>
      <c r="AB30" s="1">
        <f t="shared" si="11"/>
        <v>0</v>
      </c>
      <c r="AC30" s="1">
        <f t="shared" si="11"/>
        <v>0</v>
      </c>
      <c r="AD30" s="1">
        <f t="shared" si="11"/>
        <v>0</v>
      </c>
      <c r="AE30" s="1">
        <f t="shared" si="11"/>
        <v>0</v>
      </c>
      <c r="AF30" s="1"/>
      <c r="AG30" s="1"/>
      <c r="AH30" s="1"/>
      <c r="AI30" s="44"/>
    </row>
    <row r="31" spans="1:38" ht="15" customHeight="1">
      <c r="A31" s="93" t="s">
        <v>19</v>
      </c>
      <c r="B31" s="93"/>
      <c r="C31" s="93"/>
      <c r="D31" s="1">
        <f>COUNTIF(D9:D22,"X")</f>
        <v>2</v>
      </c>
      <c r="E31" s="1">
        <f t="shared" ref="E31:AE31" si="12">COUNTIF(E9:E22,"X")</f>
        <v>3</v>
      </c>
      <c r="F31" s="1">
        <f t="shared" si="12"/>
        <v>1</v>
      </c>
      <c r="G31" s="1">
        <f t="shared" si="12"/>
        <v>4</v>
      </c>
      <c r="H31" s="1">
        <f t="shared" si="12"/>
        <v>0</v>
      </c>
      <c r="I31" s="1">
        <f t="shared" si="12"/>
        <v>0</v>
      </c>
      <c r="J31" s="1">
        <f t="shared" si="12"/>
        <v>5</v>
      </c>
      <c r="K31" s="1">
        <f t="shared" si="12"/>
        <v>0</v>
      </c>
      <c r="L31" s="1">
        <f t="shared" si="12"/>
        <v>3</v>
      </c>
      <c r="M31" s="1">
        <f t="shared" si="12"/>
        <v>0</v>
      </c>
      <c r="N31" s="1">
        <f t="shared" si="12"/>
        <v>2</v>
      </c>
      <c r="O31" s="1">
        <f t="shared" si="12"/>
        <v>2</v>
      </c>
      <c r="P31" s="1">
        <f t="shared" si="12"/>
        <v>0</v>
      </c>
      <c r="Q31" s="1">
        <f t="shared" si="12"/>
        <v>6</v>
      </c>
      <c r="R31" s="1">
        <f t="shared" si="12"/>
        <v>1</v>
      </c>
      <c r="S31" s="1">
        <f t="shared" si="12"/>
        <v>4</v>
      </c>
      <c r="T31" s="1">
        <f t="shared" si="12"/>
        <v>2</v>
      </c>
      <c r="U31" s="1">
        <f t="shared" si="12"/>
        <v>3</v>
      </c>
      <c r="V31" s="1">
        <f t="shared" si="12"/>
        <v>1</v>
      </c>
      <c r="W31" s="1">
        <f t="shared" si="12"/>
        <v>1</v>
      </c>
      <c r="X31" s="1">
        <f t="shared" si="12"/>
        <v>3</v>
      </c>
      <c r="Y31" s="1">
        <f t="shared" si="12"/>
        <v>0</v>
      </c>
      <c r="Z31" s="1">
        <f t="shared" si="12"/>
        <v>2</v>
      </c>
      <c r="AA31" s="1">
        <f t="shared" si="12"/>
        <v>4</v>
      </c>
      <c r="AB31" s="1">
        <f t="shared" si="12"/>
        <v>1</v>
      </c>
      <c r="AC31" s="1">
        <f t="shared" si="12"/>
        <v>4</v>
      </c>
      <c r="AD31" s="1">
        <f t="shared" si="12"/>
        <v>0</v>
      </c>
      <c r="AE31" s="1">
        <f t="shared" si="12"/>
        <v>3</v>
      </c>
      <c r="AF31" s="1"/>
      <c r="AG31" s="1"/>
      <c r="AH31" s="1"/>
      <c r="AI31" s="44"/>
    </row>
    <row r="32" spans="1:38" ht="15" customHeight="1">
      <c r="A32" s="91" t="s">
        <v>75</v>
      </c>
      <c r="B32" s="91"/>
      <c r="C32" s="92"/>
      <c r="D32" s="1">
        <f>SUM(D30:D31)</f>
        <v>2</v>
      </c>
      <c r="E32" s="1">
        <f t="shared" ref="E32:AD32" si="13">SUM(E30:E31)</f>
        <v>3</v>
      </c>
      <c r="F32" s="1">
        <f t="shared" si="13"/>
        <v>1</v>
      </c>
      <c r="G32" s="1">
        <f t="shared" si="13"/>
        <v>4</v>
      </c>
      <c r="H32" s="1">
        <f t="shared" si="13"/>
        <v>0</v>
      </c>
      <c r="I32" s="1">
        <f t="shared" si="13"/>
        <v>0</v>
      </c>
      <c r="J32" s="1">
        <f t="shared" si="13"/>
        <v>5</v>
      </c>
      <c r="K32" s="1">
        <f t="shared" si="13"/>
        <v>0</v>
      </c>
      <c r="L32" s="1">
        <f t="shared" si="13"/>
        <v>3</v>
      </c>
      <c r="M32" s="1">
        <f t="shared" si="13"/>
        <v>0</v>
      </c>
      <c r="N32" s="1">
        <f t="shared" si="13"/>
        <v>2</v>
      </c>
      <c r="O32" s="1">
        <f t="shared" si="13"/>
        <v>2</v>
      </c>
      <c r="P32" s="1">
        <f t="shared" si="13"/>
        <v>0</v>
      </c>
      <c r="Q32" s="1">
        <f t="shared" si="13"/>
        <v>6</v>
      </c>
      <c r="R32" s="1">
        <f t="shared" si="13"/>
        <v>1</v>
      </c>
      <c r="S32" s="1">
        <f t="shared" si="13"/>
        <v>4</v>
      </c>
      <c r="T32" s="1">
        <f t="shared" si="13"/>
        <v>2</v>
      </c>
      <c r="U32" s="1">
        <f t="shared" si="13"/>
        <v>3</v>
      </c>
      <c r="V32" s="1">
        <f t="shared" si="13"/>
        <v>1</v>
      </c>
      <c r="W32" s="1">
        <f t="shared" si="13"/>
        <v>1</v>
      </c>
      <c r="X32" s="1">
        <f t="shared" si="13"/>
        <v>3</v>
      </c>
      <c r="Y32" s="1">
        <f t="shared" si="13"/>
        <v>0</v>
      </c>
      <c r="Z32" s="1">
        <f t="shared" si="13"/>
        <v>2</v>
      </c>
      <c r="AA32" s="1">
        <f t="shared" si="13"/>
        <v>4</v>
      </c>
      <c r="AB32" s="1">
        <f t="shared" si="13"/>
        <v>1</v>
      </c>
      <c r="AC32" s="1">
        <f t="shared" si="13"/>
        <v>4</v>
      </c>
      <c r="AD32" s="1">
        <f t="shared" si="13"/>
        <v>0</v>
      </c>
      <c r="AE32" s="1">
        <f>SUM(AE30:AE31)</f>
        <v>3</v>
      </c>
      <c r="AF32" s="1"/>
      <c r="AG32" s="1"/>
      <c r="AH32" s="1"/>
      <c r="AI32" s="1"/>
    </row>
  </sheetData>
  <mergeCells count="11">
    <mergeCell ref="A28:C28"/>
    <mergeCell ref="A29:C29"/>
    <mergeCell ref="A30:C30"/>
    <mergeCell ref="A31:C31"/>
    <mergeCell ref="A32:C32"/>
    <mergeCell ref="A27:C27"/>
    <mergeCell ref="A1:AE1"/>
    <mergeCell ref="A6:C6"/>
    <mergeCell ref="D6:AE6"/>
    <mergeCell ref="AF6:AL6"/>
    <mergeCell ref="A26:C26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근무확정표(원본)</vt:lpstr>
      <vt:lpstr>근무확정표(김경선수정본)</vt:lpstr>
      <vt:lpstr>3월</vt:lpstr>
      <vt:lpstr>Sheet3</vt:lpstr>
      <vt:lpstr>'근무확정표(김경선수정본)'!Print_Area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이돈석</cp:lastModifiedBy>
  <cp:revision>0</cp:revision>
  <cp:lastPrinted>2026-01-21T14:00:05Z</cp:lastPrinted>
  <dcterms:created xsi:type="dcterms:W3CDTF">2026-01-16T13:40:25Z</dcterms:created>
  <dcterms:modified xsi:type="dcterms:W3CDTF">2026-02-14T03:28:04Z</dcterms:modified>
  <dc:language>en-US</dc:language>
</cp:coreProperties>
</file>